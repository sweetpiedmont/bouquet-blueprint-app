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namedSheetViews/namedSheetView1.xml" ContentType="application/vnd.ms-excel.namedsheetview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haron/Documents/Sweet Piedmont/Offerings/Software and Code/bouquet-blueprint-app/data/"/>
    </mc:Choice>
  </mc:AlternateContent>
  <xr:revisionPtr revIDLastSave="0" documentId="13_ncr:1_{3070DFDE-9FCF-4747-B5F0-C2F68FD84ED9}" xr6:coauthVersionLast="47" xr6:coauthVersionMax="47" xr10:uidLastSave="{00000000-0000-0000-0000-000000000000}"/>
  <bookViews>
    <workbookView xWindow="160" yWindow="920" windowWidth="34240" windowHeight="21260" firstSheet="1" activeTab="1" xr2:uid="{835A2F5B-2282-E345-9D43-16C3FBECA701}"/>
  </bookViews>
  <sheets>
    <sheet name="IMPT INFO" sheetId="30" r:id="rId1"/>
    <sheet name="Master Variety List" sheetId="21" r:id="rId2"/>
    <sheet name="version info" sheetId="32" r:id="rId3"/>
    <sheet name="Averages" sheetId="31" r:id="rId4"/>
    <sheet name="Early Spring" sheetId="24" r:id="rId5"/>
    <sheet name="Late Spring" sheetId="25" r:id="rId6"/>
    <sheet name="Summer" sheetId="28" r:id="rId7"/>
    <sheet name="Fall" sheetId="29" r:id="rId8"/>
    <sheet name="Formula Expt." sheetId="20" r:id="rId9"/>
    <sheet name="Varieties By Season" sheetId="17" r:id="rId10"/>
    <sheet name="Old Flower List" sheetId="13" r:id="rId11"/>
    <sheet name="Sheet1" sheetId="18" r:id="rId12"/>
    <sheet name="LFL - Lisianthus" sheetId="19" r:id="rId13"/>
    <sheet name="Lauren's Conclusions" sheetId="14" r:id="rId14"/>
    <sheet name="Recipe Template" sheetId="16" r:id="rId15"/>
    <sheet name="8.11 Recipe" sheetId="15" r:id="rId16"/>
    <sheet name="definitions" sheetId="12" r:id="rId17"/>
    <sheet name="March-April" sheetId="7" r:id="rId18"/>
    <sheet name="May-June" sheetId="8" r:id="rId19"/>
    <sheet name="July-Aug" sheetId="9" r:id="rId20"/>
    <sheet name="Sept - Oct" sheetId="10" r:id="rId21"/>
    <sheet name="Mother's Day" sheetId="1" r:id="rId22"/>
    <sheet name="05.14.22" sheetId="3" r:id="rId23"/>
    <sheet name="05.21.22" sheetId="2" r:id="rId24"/>
    <sheet name="05.28.22" sheetId="4" r:id="rId25"/>
    <sheet name="06.10.22" sheetId="5" r:id="rId26"/>
    <sheet name="06.17.22" sheetId="6" r:id="rId27"/>
  </sheets>
  <definedNames>
    <definedName name="solver_adj" localSheetId="4" hidden="1">'Early Spring'!$E$4:$E$9</definedName>
    <definedName name="solver_adj" localSheetId="7" hidden="1">Fall!$E$34:$E$39</definedName>
    <definedName name="solver_adj" localSheetId="8" hidden="1">'Formula Expt.'!$C$11:$C$16</definedName>
    <definedName name="solver_adj" localSheetId="5" hidden="1">'Late Spring'!$F$4:$F$9</definedName>
    <definedName name="solver_adj" localSheetId="6" hidden="1">Summer!$F$4:$F$9</definedName>
    <definedName name="solver_cvg" localSheetId="4" hidden="1">0.0001</definedName>
    <definedName name="solver_cvg" localSheetId="7" hidden="1">0.0001</definedName>
    <definedName name="solver_cvg" localSheetId="8" hidden="1">0.0001</definedName>
    <definedName name="solver_cvg" localSheetId="5" hidden="1">0.0001</definedName>
    <definedName name="solver_cvg" localSheetId="6" hidden="1">0.0001</definedName>
    <definedName name="solver_drv" localSheetId="4" hidden="1">1</definedName>
    <definedName name="solver_drv" localSheetId="7" hidden="1">1</definedName>
    <definedName name="solver_drv" localSheetId="8" hidden="1">1</definedName>
    <definedName name="solver_drv" localSheetId="5" hidden="1">1</definedName>
    <definedName name="solver_drv" localSheetId="6" hidden="1">1</definedName>
    <definedName name="solver_eng" localSheetId="4" hidden="1">1</definedName>
    <definedName name="solver_eng" localSheetId="7" hidden="1">1</definedName>
    <definedName name="solver_eng" localSheetId="8" hidden="1">1</definedName>
    <definedName name="solver_eng" localSheetId="5" hidden="1">1</definedName>
    <definedName name="solver_eng" localSheetId="6" hidden="1">1</definedName>
    <definedName name="solver_est" localSheetId="4" hidden="1">1</definedName>
    <definedName name="solver_est" localSheetId="7" hidden="1">1</definedName>
    <definedName name="solver_est" localSheetId="5" hidden="1">1</definedName>
    <definedName name="solver_est" localSheetId="6" hidden="1">1</definedName>
    <definedName name="solver_itr" localSheetId="4" hidden="1">2147483647</definedName>
    <definedName name="solver_itr" localSheetId="7" hidden="1">2147483647</definedName>
    <definedName name="solver_itr" localSheetId="8" hidden="1">2147483647</definedName>
    <definedName name="solver_itr" localSheetId="5" hidden="1">2147483647</definedName>
    <definedName name="solver_itr" localSheetId="6" hidden="1">2147483647</definedName>
    <definedName name="solver_lhs1" localSheetId="4" hidden="1">'Early Spring'!$D$4</definedName>
    <definedName name="solver_lhs1" localSheetId="7" hidden="1">Fall!$D$34</definedName>
    <definedName name="solver_lhs1" localSheetId="8" hidden="1">'Formula Expt.'!$B$11</definedName>
    <definedName name="solver_lhs1" localSheetId="5" hidden="1">'Late Spring'!$E$4</definedName>
    <definedName name="solver_lhs1" localSheetId="6" hidden="1">Summer!$E$4</definedName>
    <definedName name="solver_lhs10" localSheetId="4" hidden="1">'Early Spring'!$E$9</definedName>
    <definedName name="solver_lhs10" localSheetId="7" hidden="1">Fall!$E$37</definedName>
    <definedName name="solver_lhs10" localSheetId="8" hidden="1">'Formula Expt.'!$C$14</definedName>
    <definedName name="solver_lhs10" localSheetId="5" hidden="1">'Late Spring'!$F$8</definedName>
    <definedName name="solver_lhs10" localSheetId="6" hidden="1">Summer!$F$7</definedName>
    <definedName name="solver_lhs11" localSheetId="4" hidden="1">'Early Spring'!$F$4</definedName>
    <definedName name="solver_lhs11" localSheetId="7" hidden="1">Fall!$E$37</definedName>
    <definedName name="solver_lhs11" localSheetId="8" hidden="1">'Formula Expt.'!$C$15</definedName>
    <definedName name="solver_lhs11" localSheetId="5" hidden="1">'Late Spring'!$F$9</definedName>
    <definedName name="solver_lhs11" localSheetId="6" hidden="1">Summer!$F$8</definedName>
    <definedName name="solver_lhs12" localSheetId="4" hidden="1">'Early Spring'!$F$5</definedName>
    <definedName name="solver_lhs12" localSheetId="7" hidden="1">Fall!$E$38</definedName>
    <definedName name="solver_lhs12" localSheetId="8" hidden="1">'Formula Expt.'!$C$16</definedName>
    <definedName name="solver_lhs12" localSheetId="5" hidden="1">'Late Spring'!$G$4</definedName>
    <definedName name="solver_lhs12" localSheetId="6" hidden="1">Summer!$F$9</definedName>
    <definedName name="solver_lhs13" localSheetId="4" hidden="1">'Early Spring'!$F$6</definedName>
    <definedName name="solver_lhs13" localSheetId="7" hidden="1">Fall!$E$38</definedName>
    <definedName name="solver_lhs13" localSheetId="8" hidden="1">'Formula Expt.'!$C$16</definedName>
    <definedName name="solver_lhs13" localSheetId="5" hidden="1">'Late Spring'!$G$5</definedName>
    <definedName name="solver_lhs13" localSheetId="6" hidden="1">Summer!$G$4</definedName>
    <definedName name="solver_lhs14" localSheetId="4" hidden="1">'Early Spring'!$F$7</definedName>
    <definedName name="solver_lhs14" localSheetId="7" hidden="1">Fall!$E$39</definedName>
    <definedName name="solver_lhs14" localSheetId="8" hidden="1">'Formula Expt.'!$D$11</definedName>
    <definedName name="solver_lhs14" localSheetId="5" hidden="1">'Late Spring'!$G$6</definedName>
    <definedName name="solver_lhs14" localSheetId="6" hidden="1">Summer!$G$5</definedName>
    <definedName name="solver_lhs15" localSheetId="4" hidden="1">'Early Spring'!$F$8</definedName>
    <definedName name="solver_lhs15" localSheetId="7" hidden="1">Fall!$E$39</definedName>
    <definedName name="solver_lhs15" localSheetId="8" hidden="1">'Formula Expt.'!$D$12</definedName>
    <definedName name="solver_lhs15" localSheetId="5" hidden="1">'Late Spring'!$G$7</definedName>
    <definedName name="solver_lhs15" localSheetId="6" hidden="1">Summer!$G$6</definedName>
    <definedName name="solver_lhs16" localSheetId="4" hidden="1">'Early Spring'!$F$9</definedName>
    <definedName name="solver_lhs16" localSheetId="7" hidden="1">Fall!$F$34</definedName>
    <definedName name="solver_lhs16" localSheetId="8" hidden="1">'Formula Expt.'!$D$13</definedName>
    <definedName name="solver_lhs16" localSheetId="5" hidden="1">'Late Spring'!$G$8</definedName>
    <definedName name="solver_lhs16" localSheetId="6" hidden="1">Summer!$G$7</definedName>
    <definedName name="solver_lhs17" localSheetId="4" hidden="1">'Early Spring'!$D$14</definedName>
    <definedName name="solver_lhs17" localSheetId="7" hidden="1">Fall!$F$35</definedName>
    <definedName name="solver_lhs17" localSheetId="8" hidden="1">'Formula Expt.'!$D$14</definedName>
    <definedName name="solver_lhs17" localSheetId="5" hidden="1">'Late Spring'!$G$9</definedName>
    <definedName name="solver_lhs17" localSheetId="6" hidden="1">Summer!$G$8</definedName>
    <definedName name="solver_lhs18" localSheetId="4" hidden="1">'Early Spring'!$D$15</definedName>
    <definedName name="solver_lhs18" localSheetId="7" hidden="1">Fall!$F$36</definedName>
    <definedName name="solver_lhs18" localSheetId="8" hidden="1">'Formula Expt.'!$D$15</definedName>
    <definedName name="solver_lhs18" localSheetId="5" hidden="1">'Late Spring'!$E$15</definedName>
    <definedName name="solver_lhs18" localSheetId="6" hidden="1">Summer!$G$9</definedName>
    <definedName name="solver_lhs19" localSheetId="4" hidden="1">'Early Spring'!$D$16</definedName>
    <definedName name="solver_lhs19" localSheetId="7" hidden="1">Fall!$F$37</definedName>
    <definedName name="solver_lhs19" localSheetId="8" hidden="1">'Formula Expt.'!$D$16</definedName>
    <definedName name="solver_lhs19" localSheetId="5" hidden="1">'Late Spring'!$E$16</definedName>
    <definedName name="solver_lhs19" localSheetId="6" hidden="1">Summer!$E$16</definedName>
    <definedName name="solver_lhs2" localSheetId="4" hidden="1">'Early Spring'!$D$4</definedName>
    <definedName name="solver_lhs2" localSheetId="7" hidden="1">Fall!$D$34</definedName>
    <definedName name="solver_lhs2" localSheetId="8" hidden="1">'Formula Expt.'!$B$11</definedName>
    <definedName name="solver_lhs2" localSheetId="5" hidden="1">'Late Spring'!$E$4</definedName>
    <definedName name="solver_lhs2" localSheetId="6" hidden="1">Summer!$E$4</definedName>
    <definedName name="solver_lhs20" localSheetId="7" hidden="1">Fall!$F$38</definedName>
    <definedName name="solver_lhs21" localSheetId="7" hidden="1">Fall!$F$39</definedName>
    <definedName name="solver_lhs22" localSheetId="7" hidden="1">Fall!$F$27</definedName>
    <definedName name="solver_lhs23" localSheetId="7" hidden="1">Fall!$F$28</definedName>
    <definedName name="solver_lhs24" localSheetId="7" hidden="1">Fall!$F$29</definedName>
    <definedName name="solver_lhs25" localSheetId="7" hidden="1">Fall!$F$34</definedName>
    <definedName name="solver_lhs26" localSheetId="7" hidden="1">Fall!$F$39</definedName>
    <definedName name="solver_lhs27" localSheetId="7" hidden="1">Fall!$D$24</definedName>
    <definedName name="solver_lhs28" localSheetId="7" hidden="1">Fall!$D$24</definedName>
    <definedName name="solver_lhs29" localSheetId="7" hidden="1">Fall!$F$29</definedName>
    <definedName name="solver_lhs3" localSheetId="4" hidden="1">'Early Spring'!$E$4</definedName>
    <definedName name="solver_lhs3" localSheetId="7" hidden="1">Fall!$E$34</definedName>
    <definedName name="solver_lhs3" localSheetId="8" hidden="1">'Formula Expt.'!$C$11</definedName>
    <definedName name="solver_lhs3" localSheetId="5" hidden="1">'Late Spring'!$F$10</definedName>
    <definedName name="solver_lhs3" localSheetId="6" hidden="1">Summer!$F$4</definedName>
    <definedName name="solver_lhs30" localSheetId="7" hidden="1">Fall!$F$29</definedName>
    <definedName name="solver_lhs31" localSheetId="7" hidden="1">Fall!$F$29</definedName>
    <definedName name="solver_lhs32" localSheetId="7" hidden="1">Fall!$F$29</definedName>
    <definedName name="solver_lhs33" localSheetId="7" hidden="1">Fall!$F$29</definedName>
    <definedName name="solver_lhs34" localSheetId="7" hidden="1">Fall!$F$29</definedName>
    <definedName name="solver_lhs35" localSheetId="7" hidden="1">Fall!$F$29</definedName>
    <definedName name="solver_lhs36" localSheetId="7" hidden="1">Fall!$F$29</definedName>
    <definedName name="solver_lhs37" localSheetId="7" hidden="1">Fall!$F$29</definedName>
    <definedName name="solver_lhs4" localSheetId="4" hidden="1">'Early Spring'!$E$4:$E$9</definedName>
    <definedName name="solver_lhs4" localSheetId="7" hidden="1">Fall!$E$34</definedName>
    <definedName name="solver_lhs4" localSheetId="8" hidden="1">'Formula Expt.'!$C$11</definedName>
    <definedName name="solver_lhs4" localSheetId="5" hidden="1">'Late Spring'!$F$4</definedName>
    <definedName name="solver_lhs4" localSheetId="6" hidden="1">Summer!$F$4</definedName>
    <definedName name="solver_lhs5" localSheetId="4" hidden="1">'Early Spring'!$E$5</definedName>
    <definedName name="solver_lhs5" localSheetId="7" hidden="1">Fall!$E$34:$E$39</definedName>
    <definedName name="solver_lhs5" localSheetId="8" hidden="1">'Formula Expt.'!$C$11:$C$16</definedName>
    <definedName name="solver_lhs5" localSheetId="5" hidden="1">'Late Spring'!$F$4:$F$9</definedName>
    <definedName name="solver_lhs5" localSheetId="6" hidden="1">Summer!$F$4:$F$9</definedName>
    <definedName name="solver_lhs6" localSheetId="4" hidden="1">'Early Spring'!$E$5</definedName>
    <definedName name="solver_lhs6" localSheetId="7" hidden="1">Fall!$E$35</definedName>
    <definedName name="solver_lhs6" localSheetId="8" hidden="1">'Formula Expt.'!$C$12</definedName>
    <definedName name="solver_lhs6" localSheetId="5" hidden="1">'Late Spring'!$F$5</definedName>
    <definedName name="solver_lhs6" localSheetId="6" hidden="1">Summer!$F$5</definedName>
    <definedName name="solver_lhs7" localSheetId="4" hidden="1">'Early Spring'!$E$6</definedName>
    <definedName name="solver_lhs7" localSheetId="7" hidden="1">Fall!$E$35</definedName>
    <definedName name="solver_lhs7" localSheetId="8" hidden="1">'Formula Expt.'!$C$13</definedName>
    <definedName name="solver_lhs7" localSheetId="5" hidden="1">'Late Spring'!$F$6</definedName>
    <definedName name="solver_lhs7" localSheetId="6" hidden="1">Summer!$F$5</definedName>
    <definedName name="solver_lhs8" localSheetId="4" hidden="1">'Early Spring'!$E$7</definedName>
    <definedName name="solver_lhs8" localSheetId="7" hidden="1">Fall!$E$36</definedName>
    <definedName name="solver_lhs8" localSheetId="8" hidden="1">'Formula Expt.'!$C$13</definedName>
    <definedName name="solver_lhs8" localSheetId="5" hidden="1">'Late Spring'!$F$7</definedName>
    <definedName name="solver_lhs8" localSheetId="6" hidden="1">Summer!$F$6</definedName>
    <definedName name="solver_lhs9" localSheetId="4" hidden="1">'Early Spring'!$E$8</definedName>
    <definedName name="solver_lhs9" localSheetId="7" hidden="1">Fall!$E$36</definedName>
    <definedName name="solver_lhs9" localSheetId="8" hidden="1">'Formula Expt.'!$C$14</definedName>
    <definedName name="solver_lhs9" localSheetId="5" hidden="1">'Late Spring'!$F$7</definedName>
    <definedName name="solver_lhs9" localSheetId="6" hidden="1">Summer!$F$6</definedName>
    <definedName name="solver_lin" localSheetId="4" hidden="1">2</definedName>
    <definedName name="solver_lin" localSheetId="7" hidden="1">2</definedName>
    <definedName name="solver_lin" localSheetId="8" hidden="1">2</definedName>
    <definedName name="solver_lin" localSheetId="5" hidden="1">2</definedName>
    <definedName name="solver_lin" localSheetId="6" hidden="1">2</definedName>
    <definedName name="solver_mip" localSheetId="4" hidden="1">2147483647</definedName>
    <definedName name="solver_mip" localSheetId="7" hidden="1">2147483647</definedName>
    <definedName name="solver_mip" localSheetId="8" hidden="1">2147483647</definedName>
    <definedName name="solver_mip" localSheetId="5" hidden="1">2147483647</definedName>
    <definedName name="solver_mip" localSheetId="6" hidden="1">2147483647</definedName>
    <definedName name="solver_mni" localSheetId="4" hidden="1">30</definedName>
    <definedName name="solver_mni" localSheetId="7" hidden="1">30</definedName>
    <definedName name="solver_mni" localSheetId="8" hidden="1">30</definedName>
    <definedName name="solver_mni" localSheetId="5" hidden="1">30</definedName>
    <definedName name="solver_mni" localSheetId="6" hidden="1">30</definedName>
    <definedName name="solver_mrt" localSheetId="4" hidden="1">0.075</definedName>
    <definedName name="solver_mrt" localSheetId="7" hidden="1">0.075</definedName>
    <definedName name="solver_mrt" localSheetId="8" hidden="1">0.075</definedName>
    <definedName name="solver_mrt" localSheetId="5" hidden="1">0.075</definedName>
    <definedName name="solver_mrt" localSheetId="6" hidden="1">0.075</definedName>
    <definedName name="solver_msl" localSheetId="4" hidden="1">2</definedName>
    <definedName name="solver_msl" localSheetId="7" hidden="1">2</definedName>
    <definedName name="solver_msl" localSheetId="8" hidden="1">2</definedName>
    <definedName name="solver_msl" localSheetId="5" hidden="1">2</definedName>
    <definedName name="solver_msl" localSheetId="6" hidden="1">2</definedName>
    <definedName name="solver_neg" localSheetId="4" hidden="1">1</definedName>
    <definedName name="solver_neg" localSheetId="7" hidden="1">1</definedName>
    <definedName name="solver_neg" localSheetId="8" hidden="1">1</definedName>
    <definedName name="solver_neg" localSheetId="5" hidden="1">1</definedName>
    <definedName name="solver_neg" localSheetId="6" hidden="1">1</definedName>
    <definedName name="solver_nod" localSheetId="4" hidden="1">2147483647</definedName>
    <definedName name="solver_nod" localSheetId="7" hidden="1">2147483647</definedName>
    <definedName name="solver_nod" localSheetId="8" hidden="1">2147483647</definedName>
    <definedName name="solver_nod" localSheetId="5" hidden="1">2147483647</definedName>
    <definedName name="solver_nod" localSheetId="6" hidden="1">2147483647</definedName>
    <definedName name="solver_num" localSheetId="4" hidden="1">16</definedName>
    <definedName name="solver_num" localSheetId="7" hidden="1">21</definedName>
    <definedName name="solver_num" localSheetId="8" hidden="1">19</definedName>
    <definedName name="solver_num" localSheetId="5" hidden="1">17</definedName>
    <definedName name="solver_num" localSheetId="6" hidden="1">18</definedName>
    <definedName name="solver_nwt" localSheetId="4" hidden="1">1</definedName>
    <definedName name="solver_nwt" localSheetId="7" hidden="1">1</definedName>
    <definedName name="solver_nwt" localSheetId="5" hidden="1">1</definedName>
    <definedName name="solver_nwt" localSheetId="6" hidden="1">1</definedName>
    <definedName name="solver_opt" localSheetId="4" hidden="1">'Early Spring'!$D$4</definedName>
    <definedName name="solver_opt" localSheetId="7" hidden="1">Fall!$D$34</definedName>
    <definedName name="solver_opt" localSheetId="8" hidden="1">'Formula Expt.'!$O$1</definedName>
    <definedName name="solver_opt" localSheetId="5" hidden="1">'Late Spring'!$E$4</definedName>
    <definedName name="solver_pre" localSheetId="4" hidden="1">0.000001</definedName>
    <definedName name="solver_pre" localSheetId="7" hidden="1">0.000001</definedName>
    <definedName name="solver_pre" localSheetId="8" hidden="1">0.000001</definedName>
    <definedName name="solver_pre" localSheetId="5" hidden="1">0.000001</definedName>
    <definedName name="solver_pre" localSheetId="6" hidden="1">0.000001</definedName>
    <definedName name="solver_rbv" localSheetId="4" hidden="1">1</definedName>
    <definedName name="solver_rbv" localSheetId="7" hidden="1">1</definedName>
    <definedName name="solver_rbv" localSheetId="8" hidden="1">1</definedName>
    <definedName name="solver_rbv" localSheetId="5" hidden="1">1</definedName>
    <definedName name="solver_rbv" localSheetId="6" hidden="1">1</definedName>
    <definedName name="solver_rel1" localSheetId="4" hidden="1">1</definedName>
    <definedName name="solver_rel1" localSheetId="7" hidden="1">1</definedName>
    <definedName name="solver_rel1" localSheetId="8" hidden="1">1</definedName>
    <definedName name="solver_rel1" localSheetId="5" hidden="1">1</definedName>
    <definedName name="solver_rel1" localSheetId="6" hidden="1">1</definedName>
    <definedName name="solver_rel10" localSheetId="4" hidden="1">2</definedName>
    <definedName name="solver_rel10" localSheetId="7" hidden="1">1</definedName>
    <definedName name="solver_rel10" localSheetId="8" hidden="1">3</definedName>
    <definedName name="solver_rel10" localSheetId="5" hidden="1">2</definedName>
    <definedName name="solver_rel10" localSheetId="6" hidden="1">1</definedName>
    <definedName name="solver_rel11" localSheetId="4" hidden="1">1</definedName>
    <definedName name="solver_rel11" localSheetId="7" hidden="1">3</definedName>
    <definedName name="solver_rel11" localSheetId="8" hidden="1">1</definedName>
    <definedName name="solver_rel11" localSheetId="5" hidden="1">2</definedName>
    <definedName name="solver_rel11" localSheetId="6" hidden="1">3</definedName>
    <definedName name="solver_rel12" localSheetId="4" hidden="1">1</definedName>
    <definedName name="solver_rel12" localSheetId="7" hidden="1">1</definedName>
    <definedName name="solver_rel12" localSheetId="8" hidden="1">1</definedName>
    <definedName name="solver_rel12" localSheetId="5" hidden="1">1</definedName>
    <definedName name="solver_rel12" localSheetId="6" hidden="1">2</definedName>
    <definedName name="solver_rel13" localSheetId="4" hidden="1">1</definedName>
    <definedName name="solver_rel13" localSheetId="7" hidden="1">3</definedName>
    <definedName name="solver_rel13" localSheetId="8" hidden="1">3</definedName>
    <definedName name="solver_rel13" localSheetId="5" hidden="1">1</definedName>
    <definedName name="solver_rel13" localSheetId="6" hidden="1">1</definedName>
    <definedName name="solver_rel14" localSheetId="4" hidden="1">1</definedName>
    <definedName name="solver_rel14" localSheetId="7" hidden="1">1</definedName>
    <definedName name="solver_rel14" localSheetId="8" hidden="1">1</definedName>
    <definedName name="solver_rel14" localSheetId="5" hidden="1">1</definedName>
    <definedName name="solver_rel14" localSheetId="6" hidden="1">1</definedName>
    <definedName name="solver_rel15" localSheetId="4" hidden="1">1</definedName>
    <definedName name="solver_rel15" localSheetId="7" hidden="1">3</definedName>
    <definedName name="solver_rel15" localSheetId="8" hidden="1">1</definedName>
    <definedName name="solver_rel15" localSheetId="5" hidden="1">1</definedName>
    <definedName name="solver_rel15" localSheetId="6" hidden="1">1</definedName>
    <definedName name="solver_rel16" localSheetId="4" hidden="1">1</definedName>
    <definedName name="solver_rel16" localSheetId="7" hidden="1">1</definedName>
    <definedName name="solver_rel16" localSheetId="8" hidden="1">1</definedName>
    <definedName name="solver_rel16" localSheetId="5" hidden="1">1</definedName>
    <definedName name="solver_rel16" localSheetId="6" hidden="1">1</definedName>
    <definedName name="solver_rel17" localSheetId="4" hidden="1">1</definedName>
    <definedName name="solver_rel17" localSheetId="7" hidden="1">1</definedName>
    <definedName name="solver_rel17" localSheetId="8" hidden="1">1</definedName>
    <definedName name="solver_rel17" localSheetId="5" hidden="1">1</definedName>
    <definedName name="solver_rel17" localSheetId="6" hidden="1">1</definedName>
    <definedName name="solver_rel18" localSheetId="4" hidden="1">1</definedName>
    <definedName name="solver_rel18" localSheetId="7" hidden="1">1</definedName>
    <definedName name="solver_rel18" localSheetId="8" hidden="1">1</definedName>
    <definedName name="solver_rel18" localSheetId="5" hidden="1">1</definedName>
    <definedName name="solver_rel18" localSheetId="6" hidden="1">1</definedName>
    <definedName name="solver_rel19" localSheetId="4" hidden="1">1</definedName>
    <definedName name="solver_rel19" localSheetId="7" hidden="1">1</definedName>
    <definedName name="solver_rel19" localSheetId="8" hidden="1">1</definedName>
    <definedName name="solver_rel19" localSheetId="5" hidden="1">1</definedName>
    <definedName name="solver_rel19" localSheetId="6" hidden="1">1</definedName>
    <definedName name="solver_rel2" localSheetId="4" hidden="1">3</definedName>
    <definedName name="solver_rel2" localSheetId="7" hidden="1">3</definedName>
    <definedName name="solver_rel2" localSheetId="8" hidden="1">3</definedName>
    <definedName name="solver_rel2" localSheetId="5" hidden="1">3</definedName>
    <definedName name="solver_rel2" localSheetId="6" hidden="1">3</definedName>
    <definedName name="solver_rel20" localSheetId="7" hidden="1">1</definedName>
    <definedName name="solver_rel21" localSheetId="7" hidden="1">1</definedName>
    <definedName name="solver_rel22" localSheetId="7" hidden="1">1</definedName>
    <definedName name="solver_rel23" localSheetId="7" hidden="1">1</definedName>
    <definedName name="solver_rel24" localSheetId="7" hidden="1">1</definedName>
    <definedName name="solver_rel25" localSheetId="7" hidden="1">1</definedName>
    <definedName name="solver_rel26" localSheetId="7" hidden="1">1</definedName>
    <definedName name="solver_rel27" localSheetId="7" hidden="1">1</definedName>
    <definedName name="solver_rel28" localSheetId="7" hidden="1">3</definedName>
    <definedName name="solver_rel29" localSheetId="7" hidden="1">1</definedName>
    <definedName name="solver_rel3" localSheetId="4" hidden="1">3</definedName>
    <definedName name="solver_rel3" localSheetId="7" hidden="1">1</definedName>
    <definedName name="solver_rel3" localSheetId="8" hidden="1">1</definedName>
    <definedName name="solver_rel3" localSheetId="5" hidden="1">2</definedName>
    <definedName name="solver_rel3" localSheetId="6" hidden="1">1</definedName>
    <definedName name="solver_rel30" localSheetId="7" hidden="1">1</definedName>
    <definedName name="solver_rel31" localSheetId="7" hidden="1">1</definedName>
    <definedName name="solver_rel32" localSheetId="7" hidden="1">1</definedName>
    <definedName name="solver_rel33" localSheetId="7" hidden="1">1</definedName>
    <definedName name="solver_rel34" localSheetId="7" hidden="1">1</definedName>
    <definedName name="solver_rel35" localSheetId="7" hidden="1">1</definedName>
    <definedName name="solver_rel36" localSheetId="7" hidden="1">1</definedName>
    <definedName name="solver_rel37" localSheetId="7" hidden="1">1</definedName>
    <definedName name="solver_rel4" localSheetId="4" hidden="1">4</definedName>
    <definedName name="solver_rel4" localSheetId="7" hidden="1">3</definedName>
    <definedName name="solver_rel4" localSheetId="8" hidden="1">3</definedName>
    <definedName name="solver_rel4" localSheetId="5" hidden="1">2</definedName>
    <definedName name="solver_rel4" localSheetId="6" hidden="1">3</definedName>
    <definedName name="solver_rel5" localSheetId="4" hidden="1">1</definedName>
    <definedName name="solver_rel5" localSheetId="7" hidden="1">4</definedName>
    <definedName name="solver_rel5" localSheetId="8" hidden="1">4</definedName>
    <definedName name="solver_rel5" localSheetId="5" hidden="1">4</definedName>
    <definedName name="solver_rel5" localSheetId="6" hidden="1">4</definedName>
    <definedName name="solver_rel6" localSheetId="4" hidden="1">3</definedName>
    <definedName name="solver_rel6" localSheetId="7" hidden="1">1</definedName>
    <definedName name="solver_rel6" localSheetId="8" hidden="1">3</definedName>
    <definedName name="solver_rel6" localSheetId="5" hidden="1">3</definedName>
    <definedName name="solver_rel6" localSheetId="6" hidden="1">1</definedName>
    <definedName name="solver_rel7" localSheetId="4" hidden="1">1</definedName>
    <definedName name="solver_rel7" localSheetId="7" hidden="1">3</definedName>
    <definedName name="solver_rel7" localSheetId="8" hidden="1">1</definedName>
    <definedName name="solver_rel7" localSheetId="5" hidden="1">2</definedName>
    <definedName name="solver_rel7" localSheetId="6" hidden="1">3</definedName>
    <definedName name="solver_rel8" localSheetId="4" hidden="1">2</definedName>
    <definedName name="solver_rel8" localSheetId="7" hidden="1">1</definedName>
    <definedName name="solver_rel8" localSheetId="8" hidden="1">3</definedName>
    <definedName name="solver_rel8" localSheetId="5" hidden="1">1</definedName>
    <definedName name="solver_rel8" localSheetId="6" hidden="1">1</definedName>
    <definedName name="solver_rel9" localSheetId="4" hidden="1">1</definedName>
    <definedName name="solver_rel9" localSheetId="7" hidden="1">3</definedName>
    <definedName name="solver_rel9" localSheetId="8" hidden="1">1</definedName>
    <definedName name="solver_rel9" localSheetId="5" hidden="1">3</definedName>
    <definedName name="solver_rel9" localSheetId="6" hidden="1">3</definedName>
    <definedName name="solver_rhs1" localSheetId="4" hidden="1">25</definedName>
    <definedName name="solver_rhs1" localSheetId="7" hidden="1">22</definedName>
    <definedName name="solver_rhs1" localSheetId="8" hidden="1">37</definedName>
    <definedName name="solver_rhs1" localSheetId="5" hidden="1">35</definedName>
    <definedName name="solver_rhs1" localSheetId="6" hidden="1">37</definedName>
    <definedName name="solver_rhs10" localSheetId="4" hidden="1">2</definedName>
    <definedName name="solver_rhs10" localSheetId="7" hidden="1">3</definedName>
    <definedName name="solver_rhs10" localSheetId="8" hidden="1">2</definedName>
    <definedName name="solver_rhs10" localSheetId="5" hidden="1">0</definedName>
    <definedName name="solver_rhs10" localSheetId="6" hidden="1">3</definedName>
    <definedName name="solver_rhs11" localSheetId="4" hidden="1">'Early Spring'!$J$4</definedName>
    <definedName name="solver_rhs11" localSheetId="7" hidden="1">1</definedName>
    <definedName name="solver_rhs11" localSheetId="8" hidden="1">2</definedName>
    <definedName name="solver_rhs11" localSheetId="5" hidden="1">6</definedName>
    <definedName name="solver_rhs11" localSheetId="6" hidden="1">1</definedName>
    <definedName name="solver_rhs12" localSheetId="4" hidden="1">'Early Spring'!$J$5</definedName>
    <definedName name="solver_rhs12" localSheetId="7" hidden="1">2</definedName>
    <definedName name="solver_rhs12" localSheetId="8" hidden="1">3</definedName>
    <definedName name="solver_rhs12" localSheetId="5" hidden="1">'Late Spring'!$K$4</definedName>
    <definedName name="solver_rhs12" localSheetId="6" hidden="1">3</definedName>
    <definedName name="solver_rhs13" localSheetId="4" hidden="1">'Early Spring'!$J$6</definedName>
    <definedName name="solver_rhs13" localSheetId="7" hidden="1">1</definedName>
    <definedName name="solver_rhs13" localSheetId="8" hidden="1">2</definedName>
    <definedName name="solver_rhs13" localSheetId="5" hidden="1">'Late Spring'!$K$5</definedName>
    <definedName name="solver_rhs13" localSheetId="6" hidden="1">Summer!$K$4</definedName>
    <definedName name="solver_rhs14" localSheetId="4" hidden="1">'Early Spring'!$J$7</definedName>
    <definedName name="solver_rhs14" localSheetId="7" hidden="1">3</definedName>
    <definedName name="solver_rhs14" localSheetId="8" hidden="1">'Formula Expt.'!$H$11</definedName>
    <definedName name="solver_rhs14" localSheetId="5" hidden="1">'Late Spring'!$K$6</definedName>
    <definedName name="solver_rhs14" localSheetId="6" hidden="1">Summer!$K$5</definedName>
    <definedName name="solver_rhs15" localSheetId="4" hidden="1">'Early Spring'!$J$8</definedName>
    <definedName name="solver_rhs15" localSheetId="7" hidden="1">2</definedName>
    <definedName name="solver_rhs15" localSheetId="8" hidden="1">'Formula Expt.'!$H$12</definedName>
    <definedName name="solver_rhs15" localSheetId="5" hidden="1">'Late Spring'!$K$7</definedName>
    <definedName name="solver_rhs15" localSheetId="6" hidden="1">Summer!$K$6</definedName>
    <definedName name="solver_rhs16" localSheetId="4" hidden="1">'Early Spring'!$J$9</definedName>
    <definedName name="solver_rhs16" localSheetId="7" hidden="1">Fall!$J$34</definedName>
    <definedName name="solver_rhs16" localSheetId="8" hidden="1">'Formula Expt.'!$H$13</definedName>
    <definedName name="solver_rhs16" localSheetId="5" hidden="1">'Late Spring'!$K$8</definedName>
    <definedName name="solver_rhs16" localSheetId="6" hidden="1">Summer!$K$7</definedName>
    <definedName name="solver_rhs17" localSheetId="4" hidden="1">'Early Spring'!$H$14</definedName>
    <definedName name="solver_rhs17" localSheetId="7" hidden="1">Fall!$J$35</definedName>
    <definedName name="solver_rhs17" localSheetId="8" hidden="1">'Formula Expt.'!$H$14</definedName>
    <definedName name="solver_rhs17" localSheetId="5" hidden="1">'Late Spring'!$K$9</definedName>
    <definedName name="solver_rhs17" localSheetId="6" hidden="1">Summer!$K$8</definedName>
    <definedName name="solver_rhs18" localSheetId="4" hidden="1">'Early Spring'!$H$15</definedName>
    <definedName name="solver_rhs18" localSheetId="7" hidden="1">Fall!$J$36</definedName>
    <definedName name="solver_rhs18" localSheetId="8" hidden="1">'Formula Expt.'!$H$15</definedName>
    <definedName name="solver_rhs18" localSheetId="5" hidden="1">'Late Spring'!$I$15</definedName>
    <definedName name="solver_rhs18" localSheetId="6" hidden="1">Summer!$K$9</definedName>
    <definedName name="solver_rhs19" localSheetId="4" hidden="1">'Early Spring'!$H$16</definedName>
    <definedName name="solver_rhs19" localSheetId="7" hidden="1">Fall!$J$37</definedName>
    <definedName name="solver_rhs19" localSheetId="8" hidden="1">'Formula Expt.'!$H$16</definedName>
    <definedName name="solver_rhs19" localSheetId="5" hidden="1">'Late Spring'!$I$16</definedName>
    <definedName name="solver_rhs19" localSheetId="6" hidden="1">Summer!$I$16</definedName>
    <definedName name="solver_rhs2" localSheetId="4" hidden="1">20</definedName>
    <definedName name="solver_rhs2" localSheetId="7" hidden="1">20</definedName>
    <definedName name="solver_rhs2" localSheetId="8" hidden="1">35</definedName>
    <definedName name="solver_rhs2" localSheetId="5" hidden="1">20</definedName>
    <definedName name="solver_rhs2" localSheetId="6" hidden="1">35</definedName>
    <definedName name="solver_rhs20" localSheetId="7" hidden="1">Fall!$J$38</definedName>
    <definedName name="solver_rhs21" localSheetId="7" hidden="1">Fall!$J$39</definedName>
    <definedName name="solver_rhs22" localSheetId="7" hidden="1">Fall!$J$27</definedName>
    <definedName name="solver_rhs23" localSheetId="7" hidden="1">Fall!$J$28</definedName>
    <definedName name="solver_rhs24" localSheetId="7" hidden="1">Fall!$J$29</definedName>
    <definedName name="solver_rhs25" localSheetId="7" hidden="1">Fall!$J$34</definedName>
    <definedName name="solver_rhs26" localSheetId="7" hidden="1">Fall!$J$39</definedName>
    <definedName name="solver_rhs27" localSheetId="7" hidden="1">37</definedName>
    <definedName name="solver_rhs28" localSheetId="7" hidden="1">34.5</definedName>
    <definedName name="solver_rhs29" localSheetId="7" hidden="1">Fall!$J$29</definedName>
    <definedName name="solver_rhs3" localSheetId="4" hidden="1">3</definedName>
    <definedName name="solver_rhs3" localSheetId="7" hidden="1">3</definedName>
    <definedName name="solver_rhs3" localSheetId="8" hidden="1">2</definedName>
    <definedName name="solver_rhs3" localSheetId="5" hidden="1">30</definedName>
    <definedName name="solver_rhs3" localSheetId="6" hidden="1">5</definedName>
    <definedName name="solver_rhs30" localSheetId="7" hidden="1">Fall!$J$29</definedName>
    <definedName name="solver_rhs31" localSheetId="7" hidden="1">Fall!$J$29</definedName>
    <definedName name="solver_rhs32" localSheetId="7" hidden="1">Fall!$J$29</definedName>
    <definedName name="solver_rhs33" localSheetId="7" hidden="1">Fall!$J$29</definedName>
    <definedName name="solver_rhs34" localSheetId="7" hidden="1">Fall!$J$29</definedName>
    <definedName name="solver_rhs35" localSheetId="7" hidden="1">Fall!$J$29</definedName>
    <definedName name="solver_rhs36" localSheetId="7" hidden="1">Fall!$J$29</definedName>
    <definedName name="solver_rhs37" localSheetId="7" hidden="1">Fall!$J$29</definedName>
    <definedName name="solver_rhs4" localSheetId="4" hidden="1">"integer"</definedName>
    <definedName name="solver_rhs4" localSheetId="7" hidden="1">1</definedName>
    <definedName name="solver_rhs4" localSheetId="8" hidden="1">1</definedName>
    <definedName name="solver_rhs4" localSheetId="5" hidden="1">6</definedName>
    <definedName name="solver_rhs4" localSheetId="6" hidden="1">2</definedName>
    <definedName name="solver_rhs5" localSheetId="4" hidden="1">8</definedName>
    <definedName name="solver_rhs5" localSheetId="7" hidden="1">"integer"</definedName>
    <definedName name="solver_rhs5" localSheetId="8" hidden="1">"integer"</definedName>
    <definedName name="solver_rhs5" localSheetId="5" hidden="1">"integer"</definedName>
    <definedName name="solver_rhs5" localSheetId="6" hidden="1">"integer"</definedName>
    <definedName name="solver_rhs6" localSheetId="4" hidden="1">3</definedName>
    <definedName name="solver_rhs6" localSheetId="7" hidden="1">12</definedName>
    <definedName name="solver_rhs6" localSheetId="8" hidden="1">3</definedName>
    <definedName name="solver_rhs6" localSheetId="5" hidden="1">3</definedName>
    <definedName name="solver_rhs6" localSheetId="6" hidden="1">10</definedName>
    <definedName name="solver_rhs7" localSheetId="4" hidden="1">2</definedName>
    <definedName name="solver_rhs7" localSheetId="7" hidden="1">5</definedName>
    <definedName name="solver_rhs7" localSheetId="8" hidden="1">2</definedName>
    <definedName name="solver_rhs7" localSheetId="5" hidden="1">5</definedName>
    <definedName name="solver_rhs7" localSheetId="6" hidden="1">3</definedName>
    <definedName name="solver_rhs8" localSheetId="4" hidden="1">1</definedName>
    <definedName name="solver_rhs8" localSheetId="7" hidden="1">2</definedName>
    <definedName name="solver_rhs8" localSheetId="8" hidden="1">1</definedName>
    <definedName name="solver_rhs8" localSheetId="5" hidden="1">6</definedName>
    <definedName name="solver_rhs8" localSheetId="6" hidden="1">3</definedName>
    <definedName name="solver_rhs9" localSheetId="4" hidden="1">1</definedName>
    <definedName name="solver_rhs9" localSheetId="7" hidden="1">1</definedName>
    <definedName name="solver_rhs9" localSheetId="8" hidden="1">3</definedName>
    <definedName name="solver_rhs9" localSheetId="5" hidden="1">2</definedName>
    <definedName name="solver_rhs9" localSheetId="6" hidden="1">1</definedName>
    <definedName name="solver_rlx" localSheetId="4" hidden="1">2</definedName>
    <definedName name="solver_rlx" localSheetId="7" hidden="1">2</definedName>
    <definedName name="solver_rlx" localSheetId="8" hidden="1">2</definedName>
    <definedName name="solver_rlx" localSheetId="5" hidden="1">2</definedName>
    <definedName name="solver_rlx" localSheetId="6" hidden="1">2</definedName>
    <definedName name="solver_rsd" localSheetId="4" hidden="1">0</definedName>
    <definedName name="solver_rsd" localSheetId="7" hidden="1">0</definedName>
    <definedName name="solver_rsd" localSheetId="8" hidden="1">0</definedName>
    <definedName name="solver_rsd" localSheetId="5" hidden="1">0</definedName>
    <definedName name="solver_rsd" localSheetId="6" hidden="1">0</definedName>
    <definedName name="solver_scl" localSheetId="4" hidden="1">1</definedName>
    <definedName name="solver_scl" localSheetId="7" hidden="1">1</definedName>
    <definedName name="solver_scl" localSheetId="8" hidden="1">1</definedName>
    <definedName name="solver_scl" localSheetId="5" hidden="1">1</definedName>
    <definedName name="solver_scl" localSheetId="6" hidden="1">1</definedName>
    <definedName name="solver_sho" localSheetId="4" hidden="1">2</definedName>
    <definedName name="solver_sho" localSheetId="7" hidden="1">2</definedName>
    <definedName name="solver_sho" localSheetId="8" hidden="1">2</definedName>
    <definedName name="solver_sho" localSheetId="5" hidden="1">2</definedName>
    <definedName name="solver_sho" localSheetId="6" hidden="1">2</definedName>
    <definedName name="solver_ssz" localSheetId="4" hidden="1">100</definedName>
    <definedName name="solver_ssz" localSheetId="7" hidden="1">100</definedName>
    <definedName name="solver_ssz" localSheetId="8" hidden="1">100</definedName>
    <definedName name="solver_ssz" localSheetId="5" hidden="1">100</definedName>
    <definedName name="solver_ssz" localSheetId="6" hidden="1">100</definedName>
    <definedName name="solver_tim" localSheetId="4" hidden="1">2147483647</definedName>
    <definedName name="solver_tim" localSheetId="7" hidden="1">2147483647</definedName>
    <definedName name="solver_tim" localSheetId="8" hidden="1">2147483647</definedName>
    <definedName name="solver_tim" localSheetId="5" hidden="1">2147483647</definedName>
    <definedName name="solver_tim" localSheetId="6" hidden="1">2147483647</definedName>
    <definedName name="solver_tol" localSheetId="4" hidden="1">0.01</definedName>
    <definedName name="solver_tol" localSheetId="7" hidden="1">0.01</definedName>
    <definedName name="solver_tol" localSheetId="8" hidden="1">0.01</definedName>
    <definedName name="solver_tol" localSheetId="5" hidden="1">0.01</definedName>
    <definedName name="solver_tol" localSheetId="6" hidden="1">0.01</definedName>
    <definedName name="solver_typ" localSheetId="4" hidden="1">2</definedName>
    <definedName name="solver_typ" localSheetId="7" hidden="1">2</definedName>
    <definedName name="solver_typ" localSheetId="8" hidden="1">2</definedName>
    <definedName name="solver_typ" localSheetId="5" hidden="1">2</definedName>
    <definedName name="solver_typ" localSheetId="6" hidden="1">2</definedName>
    <definedName name="solver_val" localSheetId="4" hidden="1">0</definedName>
    <definedName name="solver_val" localSheetId="7" hidden="1">0</definedName>
    <definedName name="solver_val" localSheetId="8" hidden="1">0</definedName>
    <definedName name="solver_val" localSheetId="5" hidden="1">69</definedName>
    <definedName name="solver_val" localSheetId="6" hidden="1">0</definedName>
    <definedName name="solver_ver" localSheetId="4" hidden="1">2</definedName>
    <definedName name="solver_ver" localSheetId="7" hidden="1">2</definedName>
    <definedName name="solver_ver" localSheetId="8" hidden="1">2</definedName>
    <definedName name="solver_ver" localSheetId="5" hidden="1">2</definedName>
    <definedName name="solver_ver" localSheetId="6" hidden="1">2</definedName>
  </definedNames>
  <calcPr calcId="191028"/>
  <pivotCaches>
    <pivotCache cacheId="4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21" l="1"/>
  <c r="E105" i="21"/>
  <c r="D105" i="21" s="1"/>
  <c r="F104" i="21"/>
  <c r="E104" i="21"/>
  <c r="D104" i="21" s="1"/>
  <c r="F73" i="21"/>
  <c r="E73" i="21"/>
  <c r="D73" i="21"/>
  <c r="F17" i="21"/>
  <c r="E17" i="21"/>
  <c r="D17" i="21" s="1"/>
  <c r="F10" i="21"/>
  <c r="E10" i="21"/>
  <c r="D10" i="21" s="1"/>
  <c r="F9" i="21"/>
  <c r="E9" i="21"/>
  <c r="D9" i="21" s="1"/>
  <c r="F2" i="21"/>
  <c r="F3" i="21"/>
  <c r="F4" i="21"/>
  <c r="F5" i="21"/>
  <c r="F6" i="21"/>
  <c r="F7" i="21"/>
  <c r="F8" i="21"/>
  <c r="F11" i="21"/>
  <c r="F12" i="21"/>
  <c r="F13" i="21"/>
  <c r="F14" i="21"/>
  <c r="F15" i="21"/>
  <c r="F16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4" i="21"/>
  <c r="F75" i="21"/>
  <c r="F76" i="21"/>
  <c r="F77" i="21"/>
  <c r="F78" i="21"/>
  <c r="F79" i="21"/>
  <c r="F80" i="21"/>
  <c r="F81" i="21"/>
  <c r="F82" i="21"/>
  <c r="F83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7" i="21"/>
  <c r="F108" i="21"/>
  <c r="F109" i="21"/>
  <c r="F110" i="21"/>
  <c r="F111" i="21"/>
  <c r="F112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E125" i="21"/>
  <c r="D125" i="21" s="1"/>
  <c r="E26" i="21"/>
  <c r="D26" i="21" s="1"/>
  <c r="E74" i="21"/>
  <c r="D74" i="21" s="1"/>
  <c r="E92" i="21"/>
  <c r="D92" i="21" s="1"/>
  <c r="E72" i="21"/>
  <c r="D72" i="21" s="1"/>
  <c r="E13" i="21"/>
  <c r="D13" i="21" s="1"/>
  <c r="E139" i="21"/>
  <c r="D139" i="21" s="1"/>
  <c r="E131" i="21"/>
  <c r="D131" i="21" s="1"/>
  <c r="E135" i="21"/>
  <c r="D135" i="21" s="1"/>
  <c r="E129" i="21"/>
  <c r="D129" i="21" s="1"/>
  <c r="E120" i="21"/>
  <c r="D120" i="21" s="1"/>
  <c r="E128" i="21"/>
  <c r="D128" i="21" s="1"/>
  <c r="E111" i="21"/>
  <c r="D111" i="21" s="1"/>
  <c r="E103" i="21"/>
  <c r="D103" i="21" s="1"/>
  <c r="E70" i="21"/>
  <c r="D70" i="21" s="1"/>
  <c r="E71" i="21"/>
  <c r="D71" i="21" s="1"/>
  <c r="E59" i="21"/>
  <c r="D59" i="21" s="1"/>
  <c r="E50" i="21"/>
  <c r="D50" i="21" s="1"/>
  <c r="E46" i="21"/>
  <c r="D46" i="21" s="1"/>
  <c r="E39" i="21"/>
  <c r="D39" i="21" s="1"/>
  <c r="E31" i="21"/>
  <c r="D31" i="21" s="1"/>
  <c r="E32" i="21"/>
  <c r="D32" i="21" s="1"/>
  <c r="E33" i="21"/>
  <c r="D33" i="21" s="1"/>
  <c r="E34" i="21"/>
  <c r="D34" i="21" s="1"/>
  <c r="E28" i="21"/>
  <c r="D28" i="21" s="1"/>
  <c r="E29" i="21"/>
  <c r="D29" i="21" s="1"/>
  <c r="E25" i="21"/>
  <c r="D25" i="21" s="1"/>
  <c r="E52" i="21"/>
  <c r="D52" i="21" s="1"/>
  <c r="E19" i="21"/>
  <c r="D19" i="21" s="1"/>
  <c r="E14" i="21"/>
  <c r="D14" i="21" s="1"/>
  <c r="E4" i="21"/>
  <c r="D4" i="21" s="1"/>
  <c r="E149" i="21"/>
  <c r="D149" i="21" s="1"/>
  <c r="E150" i="21"/>
  <c r="D150" i="21" s="1"/>
  <c r="E151" i="21"/>
  <c r="D151" i="21" s="1"/>
  <c r="E152" i="21"/>
  <c r="D152" i="21" s="1"/>
  <c r="E153" i="21"/>
  <c r="D153" i="21" s="1"/>
  <c r="E154" i="21"/>
  <c r="D154" i="21" s="1"/>
  <c r="E155" i="21"/>
  <c r="D155" i="21" s="1"/>
  <c r="E156" i="21"/>
  <c r="D156" i="21" s="1"/>
  <c r="E157" i="21"/>
  <c r="D157" i="21" s="1"/>
  <c r="E158" i="21"/>
  <c r="D158" i="21" s="1"/>
  <c r="E159" i="21"/>
  <c r="D159" i="21" s="1"/>
  <c r="E160" i="21"/>
  <c r="D160" i="21" s="1"/>
  <c r="E161" i="21"/>
  <c r="D161" i="21" s="1"/>
  <c r="E162" i="21"/>
  <c r="D162" i="21" s="1"/>
  <c r="E163" i="21"/>
  <c r="D163" i="21" s="1"/>
  <c r="E164" i="21"/>
  <c r="D164" i="21" s="1"/>
  <c r="E165" i="21"/>
  <c r="D165" i="21" s="1"/>
  <c r="E166" i="21"/>
  <c r="D166" i="21" s="1"/>
  <c r="E167" i="21"/>
  <c r="D167" i="21" s="1"/>
  <c r="E168" i="21"/>
  <c r="D168" i="21" s="1"/>
  <c r="E114" i="21"/>
  <c r="D114" i="21" s="1"/>
  <c r="E118" i="21"/>
  <c r="D118" i="21" s="1"/>
  <c r="E108" i="21"/>
  <c r="D108" i="21" s="1"/>
  <c r="E30" i="21"/>
  <c r="D30" i="21" s="1"/>
  <c r="E41" i="21"/>
  <c r="D41" i="21" s="1"/>
  <c r="E42" i="21"/>
  <c r="D42" i="21" s="1"/>
  <c r="E51" i="21"/>
  <c r="D51" i="21" s="1"/>
  <c r="E86" i="21"/>
  <c r="D86" i="21" s="1"/>
  <c r="E134" i="21"/>
  <c r="D134" i="21" s="1"/>
  <c r="E137" i="21"/>
  <c r="D137" i="21" s="1"/>
  <c r="E146" i="21"/>
  <c r="D146" i="21" s="1"/>
  <c r="E43" i="21"/>
  <c r="D43" i="21" s="1"/>
  <c r="E119" i="21"/>
  <c r="D119" i="21" s="1"/>
  <c r="E24" i="21"/>
  <c r="D24" i="21" s="1"/>
  <c r="E62" i="21"/>
  <c r="D62" i="21" s="1"/>
  <c r="E37" i="21"/>
  <c r="D37" i="21" s="1"/>
  <c r="E38" i="21"/>
  <c r="D38" i="21" s="1"/>
  <c r="E68" i="21"/>
  <c r="D68" i="21" s="1"/>
  <c r="E95" i="21"/>
  <c r="D95" i="21" s="1"/>
  <c r="E102" i="21"/>
  <c r="D102" i="21" s="1"/>
  <c r="E107" i="21"/>
  <c r="D107" i="21" s="1"/>
  <c r="E138" i="21"/>
  <c r="D138" i="21" s="1"/>
  <c r="E140" i="21"/>
  <c r="D140" i="21" s="1"/>
  <c r="E141" i="21"/>
  <c r="D141" i="21" s="1"/>
  <c r="E123" i="21"/>
  <c r="D123" i="21" s="1"/>
  <c r="E3" i="21"/>
  <c r="E12" i="21"/>
  <c r="D12" i="21" s="1"/>
  <c r="E49" i="21"/>
  <c r="D49" i="21" s="1"/>
  <c r="E54" i="21"/>
  <c r="D54" i="21" s="1"/>
  <c r="E77" i="21"/>
  <c r="D77" i="21" s="1"/>
  <c r="E94" i="21"/>
  <c r="D94" i="21" s="1"/>
  <c r="E112" i="21"/>
  <c r="D112" i="21" s="1"/>
  <c r="E116" i="21"/>
  <c r="D116" i="21" s="1"/>
  <c r="E133" i="21"/>
  <c r="D133" i="21" s="1"/>
  <c r="E87" i="21"/>
  <c r="D87" i="21" s="1"/>
  <c r="E89" i="21"/>
  <c r="D89" i="21" s="1"/>
  <c r="E69" i="21"/>
  <c r="D69" i="21" s="1"/>
  <c r="E93" i="21"/>
  <c r="D93" i="21" s="1"/>
  <c r="E96" i="21"/>
  <c r="D96" i="21" s="1"/>
  <c r="E5" i="21"/>
  <c r="D5" i="21" s="1"/>
  <c r="E8" i="21"/>
  <c r="D8" i="21" s="1"/>
  <c r="E11" i="21"/>
  <c r="D11" i="21" s="1"/>
  <c r="E18" i="21"/>
  <c r="D18" i="21" s="1"/>
  <c r="E21" i="21"/>
  <c r="D21" i="21" s="1"/>
  <c r="E23" i="21"/>
  <c r="D23" i="21" s="1"/>
  <c r="E27" i="21"/>
  <c r="D27" i="21" s="1"/>
  <c r="E48" i="21"/>
  <c r="D48" i="21" s="1"/>
  <c r="E56" i="21"/>
  <c r="D56" i="21" s="1"/>
  <c r="E64" i="21"/>
  <c r="D64" i="21" s="1"/>
  <c r="E65" i="21"/>
  <c r="D65" i="21" s="1"/>
  <c r="E81" i="21"/>
  <c r="D81" i="21" s="1"/>
  <c r="E83" i="21"/>
  <c r="D83" i="21" s="1"/>
  <c r="E90" i="21"/>
  <c r="D90" i="21" s="1"/>
  <c r="E97" i="21"/>
  <c r="D97" i="21" s="1"/>
  <c r="E98" i="21"/>
  <c r="D98" i="21" s="1"/>
  <c r="E99" i="21"/>
  <c r="D99" i="21" s="1"/>
  <c r="E100" i="21"/>
  <c r="D100" i="21" s="1"/>
  <c r="E101" i="21"/>
  <c r="D101" i="21" s="1"/>
  <c r="E130" i="21"/>
  <c r="D130" i="21" s="1"/>
  <c r="E61" i="21"/>
  <c r="D61" i="21" s="1"/>
  <c r="E57" i="21"/>
  <c r="D57" i="21" s="1"/>
  <c r="E85" i="21"/>
  <c r="D85" i="21" s="1"/>
  <c r="E143" i="21"/>
  <c r="D143" i="21" s="1"/>
  <c r="E145" i="21"/>
  <c r="D145" i="21" s="1"/>
  <c r="E36" i="21"/>
  <c r="D36" i="21" s="1"/>
  <c r="E47" i="21"/>
  <c r="D47" i="21" s="1"/>
  <c r="E91" i="21"/>
  <c r="D91" i="21" s="1"/>
  <c r="E117" i="21"/>
  <c r="D117" i="21" s="1"/>
  <c r="E124" i="21"/>
  <c r="D124" i="21" s="1"/>
  <c r="E126" i="21"/>
  <c r="D126" i="21" s="1"/>
  <c r="E127" i="21"/>
  <c r="D127" i="21" s="1"/>
  <c r="E132" i="21"/>
  <c r="D132" i="21" s="1"/>
  <c r="E20" i="21"/>
  <c r="D20" i="21" s="1"/>
  <c r="E2" i="21"/>
  <c r="D2" i="21" s="1"/>
  <c r="E6" i="21"/>
  <c r="D6" i="21" s="1"/>
  <c r="E15" i="21"/>
  <c r="D15" i="21" s="1"/>
  <c r="E16" i="21"/>
  <c r="D16" i="21" s="1"/>
  <c r="E22" i="21"/>
  <c r="D22" i="21" s="1"/>
  <c r="E35" i="21"/>
  <c r="D35" i="21" s="1"/>
  <c r="E40" i="21"/>
  <c r="D40" i="21" s="1"/>
  <c r="E55" i="21"/>
  <c r="D55" i="21" s="1"/>
  <c r="E58" i="21"/>
  <c r="D58" i="21" s="1"/>
  <c r="E60" i="21"/>
  <c r="D60" i="21" s="1"/>
  <c r="E63" i="21"/>
  <c r="D63" i="21" s="1"/>
  <c r="E66" i="21"/>
  <c r="D66" i="21" s="1"/>
  <c r="E67" i="21"/>
  <c r="D67" i="21" s="1"/>
  <c r="E75" i="21"/>
  <c r="D75" i="21" s="1"/>
  <c r="E76" i="21"/>
  <c r="D76" i="21" s="1"/>
  <c r="E78" i="21"/>
  <c r="D78" i="21" s="1"/>
  <c r="E79" i="21"/>
  <c r="D79" i="21" s="1"/>
  <c r="E80" i="21"/>
  <c r="D80" i="21" s="1"/>
  <c r="E88" i="21"/>
  <c r="D88" i="21" s="1"/>
  <c r="E121" i="21"/>
  <c r="D121" i="21" s="1"/>
  <c r="E122" i="21"/>
  <c r="D122" i="21" s="1"/>
  <c r="E136" i="21"/>
  <c r="D136" i="21" s="1"/>
  <c r="E144" i="21"/>
  <c r="D144" i="21" s="1"/>
  <c r="E147" i="21"/>
  <c r="D147" i="21" s="1"/>
  <c r="E148" i="21"/>
  <c r="D148" i="21" s="1"/>
  <c r="E115" i="21"/>
  <c r="D115" i="21" s="1"/>
  <c r="E142" i="21"/>
  <c r="D142" i="21" s="1"/>
  <c r="E110" i="21"/>
  <c r="D110" i="21" s="1"/>
  <c r="E109" i="21"/>
  <c r="D109" i="21" s="1"/>
  <c r="E44" i="21"/>
  <c r="D44" i="21" s="1"/>
  <c r="E45" i="21"/>
  <c r="D45" i="21" s="1"/>
  <c r="E169" i="21"/>
  <c r="D169" i="21" s="1"/>
  <c r="E170" i="21"/>
  <c r="D170" i="21" s="1"/>
  <c r="E171" i="21"/>
  <c r="D171" i="21" s="1"/>
  <c r="E172" i="21"/>
  <c r="D172" i="21" s="1"/>
  <c r="E173" i="21"/>
  <c r="D173" i="21" s="1"/>
  <c r="E174" i="21"/>
  <c r="D174" i="21" s="1"/>
  <c r="E175" i="21"/>
  <c r="D175" i="21" s="1"/>
  <c r="E176" i="21"/>
  <c r="D176" i="21" s="1"/>
  <c r="E177" i="21"/>
  <c r="D177" i="21" s="1"/>
  <c r="E178" i="21"/>
  <c r="D178" i="21" s="1"/>
  <c r="E179" i="21"/>
  <c r="D179" i="21" s="1"/>
  <c r="E180" i="21"/>
  <c r="D180" i="21" s="1"/>
  <c r="E181" i="21"/>
  <c r="D181" i="21" s="1"/>
  <c r="E182" i="21"/>
  <c r="D182" i="21" s="1"/>
  <c r="E183" i="21"/>
  <c r="D183" i="21" s="1"/>
  <c r="E184" i="21"/>
  <c r="D184" i="21" s="1"/>
  <c r="E185" i="21"/>
  <c r="D185" i="21" s="1"/>
  <c r="E186" i="21"/>
  <c r="D186" i="21" s="1"/>
  <c r="E187" i="21"/>
  <c r="D187" i="21" s="1"/>
  <c r="E188" i="21"/>
  <c r="D188" i="21" s="1"/>
  <c r="E189" i="21"/>
  <c r="D189" i="21" s="1"/>
  <c r="E190" i="21"/>
  <c r="D190" i="21" s="1"/>
  <c r="E191" i="21"/>
  <c r="D191" i="21" s="1"/>
  <c r="E192" i="21"/>
  <c r="D192" i="21" s="1"/>
  <c r="E193" i="21"/>
  <c r="D193" i="21" s="1"/>
  <c r="E194" i="21"/>
  <c r="D194" i="21" s="1"/>
  <c r="E195" i="21"/>
  <c r="D195" i="21" s="1"/>
  <c r="E196" i="21"/>
  <c r="D196" i="21" s="1"/>
  <c r="E197" i="21"/>
  <c r="D197" i="21" s="1"/>
  <c r="E198" i="21"/>
  <c r="D198" i="21" s="1"/>
  <c r="E199" i="21"/>
  <c r="D199" i="21" s="1"/>
  <c r="E200" i="21"/>
  <c r="D200" i="21" s="1"/>
  <c r="E201" i="21"/>
  <c r="D201" i="21" s="1"/>
  <c r="E202" i="21"/>
  <c r="D202" i="21" s="1"/>
  <c r="E203" i="21"/>
  <c r="D203" i="21" s="1"/>
  <c r="E204" i="21"/>
  <c r="D204" i="21" s="1"/>
  <c r="E205" i="21"/>
  <c r="D205" i="21" s="1"/>
  <c r="E206" i="21"/>
  <c r="D206" i="21" s="1"/>
  <c r="E207" i="21"/>
  <c r="D207" i="21" s="1"/>
  <c r="E208" i="21"/>
  <c r="D208" i="21" s="1"/>
  <c r="E209" i="21"/>
  <c r="D209" i="21" s="1"/>
  <c r="E210" i="21"/>
  <c r="D210" i="21" s="1"/>
  <c r="E7" i="21"/>
  <c r="D7" i="21" s="1"/>
  <c r="E211" i="21"/>
  <c r="D211" i="21" s="1"/>
  <c r="E212" i="21"/>
  <c r="D212" i="21" s="1"/>
  <c r="E213" i="21"/>
  <c r="D213" i="21" s="1"/>
  <c r="E214" i="21"/>
  <c r="D214" i="21" s="1"/>
  <c r="E215" i="21"/>
  <c r="D215" i="21" s="1"/>
  <c r="E216" i="21"/>
  <c r="D216" i="21" s="1"/>
  <c r="E217" i="21"/>
  <c r="D217" i="21" s="1"/>
  <c r="E218" i="21"/>
  <c r="D218" i="21" s="1"/>
  <c r="E219" i="21"/>
  <c r="D219" i="21" s="1"/>
  <c r="E220" i="21"/>
  <c r="D220" i="21" s="1"/>
  <c r="E221" i="21"/>
  <c r="D221" i="21" s="1"/>
  <c r="E222" i="21"/>
  <c r="D222" i="21" s="1"/>
  <c r="E223" i="21"/>
  <c r="D223" i="21" s="1"/>
  <c r="E224" i="21"/>
  <c r="D224" i="21" s="1"/>
  <c r="E225" i="21"/>
  <c r="D225" i="21" s="1"/>
  <c r="E226" i="21"/>
  <c r="D226" i="21" s="1"/>
  <c r="E227" i="21"/>
  <c r="D227" i="21" s="1"/>
  <c r="E228" i="21"/>
  <c r="D228" i="21" s="1"/>
  <c r="E229" i="21"/>
  <c r="D229" i="21" s="1"/>
  <c r="E230" i="21"/>
  <c r="D230" i="21" s="1"/>
  <c r="E231" i="21"/>
  <c r="D231" i="21" s="1"/>
  <c r="E232" i="21"/>
  <c r="D232" i="21" s="1"/>
  <c r="E233" i="21"/>
  <c r="D233" i="21" s="1"/>
  <c r="E234" i="21"/>
  <c r="D234" i="21" s="1"/>
  <c r="E235" i="21"/>
  <c r="D235" i="21" s="1"/>
  <c r="E236" i="21"/>
  <c r="D236" i="21" s="1"/>
  <c r="E237" i="21"/>
  <c r="D237" i="21" s="1"/>
  <c r="E238" i="21"/>
  <c r="D238" i="21" s="1"/>
  <c r="E239" i="21"/>
  <c r="D239" i="21" s="1"/>
  <c r="E240" i="21"/>
  <c r="D240" i="21" s="1"/>
  <c r="E241" i="21"/>
  <c r="D241" i="21" s="1"/>
  <c r="E242" i="21"/>
  <c r="D242" i="21" s="1"/>
  <c r="E243" i="21"/>
  <c r="D243" i="21" s="1"/>
  <c r="E244" i="21"/>
  <c r="D244" i="21" s="1"/>
  <c r="E245" i="21"/>
  <c r="D245" i="21" s="1"/>
  <c r="E246" i="21"/>
  <c r="D246" i="21" s="1"/>
  <c r="E247" i="21"/>
  <c r="D247" i="21" s="1"/>
  <c r="E248" i="21"/>
  <c r="D248" i="21" s="1"/>
  <c r="E249" i="21"/>
  <c r="D249" i="21" s="1"/>
  <c r="E250" i="21"/>
  <c r="D250" i="21" s="1"/>
  <c r="E251" i="21"/>
  <c r="D251" i="21" s="1"/>
  <c r="E252" i="21"/>
  <c r="D252" i="21" s="1"/>
  <c r="E253" i="21"/>
  <c r="D253" i="21" s="1"/>
  <c r="E254" i="21"/>
  <c r="D254" i="21" s="1"/>
  <c r="E255" i="21"/>
  <c r="D255" i="21" s="1"/>
  <c r="E256" i="21"/>
  <c r="D256" i="21" s="1"/>
  <c r="E257" i="21"/>
  <c r="D257" i="21" s="1"/>
  <c r="E258" i="21"/>
  <c r="D258" i="21" s="1"/>
  <c r="E259" i="21"/>
  <c r="D259" i="21" s="1"/>
  <c r="E260" i="21"/>
  <c r="D260" i="21" s="1"/>
  <c r="E261" i="21"/>
  <c r="D261" i="21" s="1"/>
  <c r="E262" i="21"/>
  <c r="D262" i="21" s="1"/>
  <c r="E263" i="21"/>
  <c r="D263" i="21" s="1"/>
  <c r="E264" i="21"/>
  <c r="D264" i="21" s="1"/>
  <c r="E265" i="21"/>
  <c r="D265" i="21" s="1"/>
  <c r="E266" i="21"/>
  <c r="D266" i="21" s="1"/>
  <c r="E267" i="21"/>
  <c r="D267" i="21" s="1"/>
  <c r="E268" i="21"/>
  <c r="D268" i="21" s="1"/>
  <c r="E269" i="21"/>
  <c r="D269" i="21" s="1"/>
  <c r="E270" i="21"/>
  <c r="D270" i="21" s="1"/>
  <c r="E271" i="21"/>
  <c r="D271" i="21" s="1"/>
  <c r="E272" i="21"/>
  <c r="D272" i="21" s="1"/>
  <c r="E273" i="21"/>
  <c r="D273" i="21" s="1"/>
  <c r="E274" i="21"/>
  <c r="D274" i="21" s="1"/>
  <c r="E275" i="21"/>
  <c r="D275" i="21" s="1"/>
  <c r="E276" i="21"/>
  <c r="D276" i="21" s="1"/>
  <c r="E277" i="21"/>
  <c r="D277" i="21" s="1"/>
  <c r="E278" i="21"/>
  <c r="D278" i="21" s="1"/>
  <c r="E279" i="21"/>
  <c r="D279" i="21" s="1"/>
  <c r="E280" i="21"/>
  <c r="D280" i="21" s="1"/>
  <c r="E281" i="21"/>
  <c r="D281" i="21" s="1"/>
  <c r="E282" i="21"/>
  <c r="D282" i="21" s="1"/>
  <c r="E283" i="21"/>
  <c r="D283" i="21" s="1"/>
  <c r="E284" i="21"/>
  <c r="D284" i="21" s="1"/>
  <c r="E285" i="21"/>
  <c r="D285" i="21" s="1"/>
  <c r="E286" i="21"/>
  <c r="D286" i="21" s="1"/>
  <c r="E287" i="21"/>
  <c r="D287" i="21" s="1"/>
  <c r="E288" i="21"/>
  <c r="D288" i="21" s="1"/>
  <c r="E289" i="21"/>
  <c r="D289" i="21" s="1"/>
  <c r="E290" i="21"/>
  <c r="D290" i="21" s="1"/>
  <c r="E291" i="21"/>
  <c r="D291" i="21" s="1"/>
  <c r="E292" i="21"/>
  <c r="D292" i="21" s="1"/>
  <c r="E293" i="21"/>
  <c r="D293" i="21" s="1"/>
  <c r="E294" i="21"/>
  <c r="D294" i="21" s="1"/>
  <c r="E295" i="21"/>
  <c r="D295" i="21" s="1"/>
  <c r="E296" i="21"/>
  <c r="D296" i="21" s="1"/>
  <c r="E297" i="21"/>
  <c r="D297" i="21" s="1"/>
  <c r="E82" i="21"/>
  <c r="D82" i="21" s="1"/>
  <c r="F10" i="25"/>
  <c r="G4" i="25"/>
  <c r="M4" i="25" s="1"/>
  <c r="F35" i="29"/>
  <c r="F36" i="29"/>
  <c r="F37" i="29"/>
  <c r="F38" i="29"/>
  <c r="F39" i="29"/>
  <c r="F34" i="29"/>
  <c r="F26" i="29"/>
  <c r="F27" i="29"/>
  <c r="F28" i="29"/>
  <c r="F29" i="29"/>
  <c r="F25" i="29"/>
  <c r="F24" i="29"/>
  <c r="F48" i="29"/>
  <c r="F47" i="29"/>
  <c r="F46" i="29"/>
  <c r="F45" i="29"/>
  <c r="F44" i="29"/>
  <c r="F43" i="29"/>
  <c r="F18" i="29"/>
  <c r="L18" i="29" s="1"/>
  <c r="J29" i="29" s="1"/>
  <c r="F17" i="29"/>
  <c r="L17" i="29" s="1"/>
  <c r="J28" i="29" s="1"/>
  <c r="F16" i="29"/>
  <c r="L16" i="29" s="1"/>
  <c r="J27" i="29" s="1"/>
  <c r="F15" i="29"/>
  <c r="L15" i="29" s="1"/>
  <c r="J26" i="29" s="1"/>
  <c r="F14" i="29"/>
  <c r="L14" i="29" s="1"/>
  <c r="J25" i="29" s="1"/>
  <c r="F13" i="29"/>
  <c r="L13" i="29" s="1"/>
  <c r="J24" i="29" s="1"/>
  <c r="O22" i="29"/>
  <c r="O21" i="29"/>
  <c r="O14" i="29"/>
  <c r="O13" i="29"/>
  <c r="O12" i="29"/>
  <c r="O11" i="29"/>
  <c r="O10" i="29"/>
  <c r="O9" i="29"/>
  <c r="O8" i="29" a="1"/>
  <c r="O8" i="29" s="1"/>
  <c r="O7" i="29"/>
  <c r="O6" i="29"/>
  <c r="O3" i="29"/>
  <c r="G9" i="28"/>
  <c r="O9" i="28" s="1"/>
  <c r="G8" i="28"/>
  <c r="O8" i="28" s="1"/>
  <c r="G7" i="28"/>
  <c r="O7" i="28" s="1"/>
  <c r="G6" i="28"/>
  <c r="O6" i="28" s="1"/>
  <c r="G5" i="28"/>
  <c r="O5" i="28" s="1"/>
  <c r="G4" i="28"/>
  <c r="O4" i="28" s="1"/>
  <c r="G9" i="25"/>
  <c r="M9" i="25" s="1"/>
  <c r="G8" i="25"/>
  <c r="M8" i="25" s="1"/>
  <c r="G7" i="25"/>
  <c r="M7" i="25" s="1"/>
  <c r="G6" i="25"/>
  <c r="M6" i="25" s="1"/>
  <c r="G5" i="25"/>
  <c r="M5" i="25" s="1"/>
  <c r="F5" i="24"/>
  <c r="L5" i="24" s="1"/>
  <c r="F7" i="24"/>
  <c r="L7" i="24" s="1"/>
  <c r="F8" i="24"/>
  <c r="L8" i="24" s="1"/>
  <c r="F9" i="24"/>
  <c r="L9" i="24" s="1"/>
  <c r="F6" i="24"/>
  <c r="F4" i="24"/>
  <c r="L24" i="29" l="1"/>
  <c r="J34" i="29" s="1"/>
  <c r="L34" i="29" s="1"/>
  <c r="J43" i="29" s="1"/>
  <c r="L43" i="29" s="1"/>
  <c r="L26" i="29"/>
  <c r="J36" i="29" s="1"/>
  <c r="L36" i="29" s="1"/>
  <c r="J45" i="29" s="1"/>
  <c r="L45" i="29" s="1"/>
  <c r="L25" i="29"/>
  <c r="J35" i="29" s="1"/>
  <c r="L35" i="29" s="1"/>
  <c r="J44" i="29" s="1"/>
  <c r="L44" i="29" s="1"/>
  <c r="L27" i="29"/>
  <c r="J37" i="29" s="1"/>
  <c r="L37" i="29" s="1"/>
  <c r="J46" i="29" s="1"/>
  <c r="L46" i="29" s="1"/>
  <c r="L29" i="29"/>
  <c r="J39" i="29" s="1"/>
  <c r="L39" i="29" s="1"/>
  <c r="J48" i="29" s="1"/>
  <c r="L48" i="29" s="1"/>
  <c r="O15" i="29"/>
  <c r="O20" i="29"/>
  <c r="O17" i="29"/>
  <c r="O18" i="29"/>
  <c r="O16" i="29"/>
  <c r="L28" i="29"/>
  <c r="J38" i="29" s="1"/>
  <c r="L38" i="29" s="1"/>
  <c r="J47" i="29" s="1"/>
  <c r="L47" i="29" s="1"/>
  <c r="O19" i="29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 a="1"/>
  <c r="O8" i="20"/>
  <c r="O7" i="20"/>
  <c r="O6" i="20"/>
  <c r="O3" i="20"/>
  <c r="O2" i="20"/>
  <c r="L4" i="24"/>
  <c r="G113" i="21"/>
  <c r="F113" i="21" s="1"/>
  <c r="G53" i="21"/>
  <c r="F53" i="21" s="1"/>
  <c r="F106" i="21"/>
  <c r="G84" i="21"/>
  <c r="H122" i="20"/>
  <c r="G122" i="20" s="1"/>
  <c r="H121" i="20"/>
  <c r="G121" i="20" s="1"/>
  <c r="H120" i="20"/>
  <c r="G120" i="20"/>
  <c r="H119" i="20"/>
  <c r="G119" i="20"/>
  <c r="H118" i="20"/>
  <c r="G118" i="20"/>
  <c r="H117" i="20"/>
  <c r="G117" i="20" s="1"/>
  <c r="H116" i="20"/>
  <c r="G116" i="20" s="1"/>
  <c r="H115" i="20"/>
  <c r="G115" i="20" s="1"/>
  <c r="I114" i="20"/>
  <c r="H114" i="20" s="1"/>
  <c r="G114" i="20" s="1"/>
  <c r="I113" i="20"/>
  <c r="H113" i="20" s="1"/>
  <c r="G113" i="20" s="1"/>
  <c r="H112" i="20"/>
  <c r="G112" i="20" s="1"/>
  <c r="H111" i="20"/>
  <c r="G111" i="20" s="1"/>
  <c r="H110" i="20"/>
  <c r="G110" i="20" s="1"/>
  <c r="H108" i="20"/>
  <c r="G108" i="20" s="1"/>
  <c r="H107" i="20"/>
  <c r="G107" i="20" s="1"/>
  <c r="H106" i="20"/>
  <c r="G106" i="20" s="1"/>
  <c r="H105" i="20"/>
  <c r="G105" i="20" s="1"/>
  <c r="H104" i="20"/>
  <c r="G104" i="20" s="1"/>
  <c r="H103" i="20"/>
  <c r="G103" i="20" s="1"/>
  <c r="H102" i="20"/>
  <c r="G102" i="20"/>
  <c r="H101" i="20"/>
  <c r="G101" i="20"/>
  <c r="H99" i="20"/>
  <c r="G99" i="20"/>
  <c r="H98" i="20"/>
  <c r="G98" i="20" s="1"/>
  <c r="H97" i="20"/>
  <c r="G97" i="20" s="1"/>
  <c r="H96" i="20"/>
  <c r="G96" i="20" s="1"/>
  <c r="H95" i="20"/>
  <c r="G95" i="20" s="1"/>
  <c r="H94" i="20"/>
  <c r="G94" i="20" s="1"/>
  <c r="H93" i="20"/>
  <c r="G93" i="20" s="1"/>
  <c r="H92" i="20"/>
  <c r="G92" i="20" s="1"/>
  <c r="H91" i="20"/>
  <c r="G91" i="20" s="1"/>
  <c r="H90" i="20"/>
  <c r="G90" i="20" s="1"/>
  <c r="H89" i="20"/>
  <c r="G89" i="20"/>
  <c r="H88" i="20"/>
  <c r="G88" i="20"/>
  <c r="H87" i="20"/>
  <c r="G87" i="20"/>
  <c r="H85" i="20"/>
  <c r="G85" i="20" s="1"/>
  <c r="H84" i="20"/>
  <c r="G84" i="20" s="1"/>
  <c r="H83" i="20"/>
  <c r="G83" i="20" s="1"/>
  <c r="H82" i="20"/>
  <c r="G82" i="20" s="1"/>
  <c r="H81" i="20"/>
  <c r="G81" i="20" s="1"/>
  <c r="H80" i="20"/>
  <c r="G80" i="20" s="1"/>
  <c r="H79" i="20"/>
  <c r="G79" i="20" s="1"/>
  <c r="H78" i="20"/>
  <c r="G78" i="20" s="1"/>
  <c r="H77" i="20"/>
  <c r="G77" i="20" s="1"/>
  <c r="H75" i="20"/>
  <c r="G75" i="20"/>
  <c r="H74" i="20"/>
  <c r="G74" i="20"/>
  <c r="H73" i="20"/>
  <c r="G73" i="20"/>
  <c r="H72" i="20"/>
  <c r="G72" i="20" s="1"/>
  <c r="H71" i="20"/>
  <c r="G71" i="20" s="1"/>
  <c r="H70" i="20"/>
  <c r="G70" i="20" s="1"/>
  <c r="H45" i="20"/>
  <c r="G45" i="20" s="1"/>
  <c r="H68" i="20"/>
  <c r="G68" i="20" s="1"/>
  <c r="H67" i="20"/>
  <c r="G67" i="20" s="1"/>
  <c r="K66" i="20"/>
  <c r="H66" i="20" s="1"/>
  <c r="G66" i="20" s="1"/>
  <c r="K65" i="20"/>
  <c r="H65" i="20"/>
  <c r="G65" i="20" s="1"/>
  <c r="H64" i="20"/>
  <c r="G64" i="20"/>
  <c r="H63" i="20"/>
  <c r="G63" i="20"/>
  <c r="H62" i="20"/>
  <c r="G62" i="20"/>
  <c r="H61" i="20"/>
  <c r="G61" i="20" s="1"/>
  <c r="H60" i="20"/>
  <c r="G60" i="20" s="1"/>
  <c r="H59" i="20"/>
  <c r="G59" i="20" s="1"/>
  <c r="H58" i="20"/>
  <c r="G58" i="20" s="1"/>
  <c r="I57" i="20"/>
  <c r="H57" i="20" s="1"/>
  <c r="G57" i="20" s="1"/>
  <c r="H56" i="20"/>
  <c r="G56" i="20" s="1"/>
  <c r="H55" i="20"/>
  <c r="G55" i="20" s="1"/>
  <c r="H54" i="20"/>
  <c r="G54" i="20" s="1"/>
  <c r="H53" i="20"/>
  <c r="G53" i="20" s="1"/>
  <c r="H52" i="20"/>
  <c r="G52" i="20" s="1"/>
  <c r="H51" i="20"/>
  <c r="G51" i="20" s="1"/>
  <c r="H50" i="20"/>
  <c r="G50" i="20" s="1"/>
  <c r="H49" i="20"/>
  <c r="G49" i="20" s="1"/>
  <c r="H48" i="20"/>
  <c r="G48" i="20" s="1"/>
  <c r="H47" i="20"/>
  <c r="G47" i="20" s="1"/>
  <c r="Q121" i="20"/>
  <c r="H44" i="20"/>
  <c r="G44" i="20" s="1"/>
  <c r="H43" i="20"/>
  <c r="G43" i="20" s="1"/>
  <c r="H42" i="20"/>
  <c r="G42" i="20" s="1"/>
  <c r="H41" i="20"/>
  <c r="H40" i="20"/>
  <c r="G40" i="20" s="1"/>
  <c r="H39" i="20"/>
  <c r="G39" i="20" s="1"/>
  <c r="H38" i="20"/>
  <c r="G38" i="20" s="1"/>
  <c r="H37" i="20"/>
  <c r="H36" i="20"/>
  <c r="G36" i="20" s="1"/>
  <c r="H35" i="20"/>
  <c r="G35" i="20" s="1"/>
  <c r="H34" i="20"/>
  <c r="H158" i="13"/>
  <c r="G158" i="13" s="1"/>
  <c r="H159" i="13"/>
  <c r="G159" i="13" s="1"/>
  <c r="H156" i="13"/>
  <c r="G156" i="13" s="1"/>
  <c r="I127" i="19"/>
  <c r="H127" i="19" s="1"/>
  <c r="G127" i="19" s="1"/>
  <c r="H209" i="19"/>
  <c r="G209" i="19"/>
  <c r="H208" i="19"/>
  <c r="G208" i="19"/>
  <c r="H207" i="19"/>
  <c r="G207" i="19"/>
  <c r="H206" i="19"/>
  <c r="G206" i="19"/>
  <c r="H205" i="19"/>
  <c r="G205" i="19"/>
  <c r="H204" i="19"/>
  <c r="H212" i="19" s="1"/>
  <c r="G204" i="19"/>
  <c r="I203" i="19"/>
  <c r="H203" i="19"/>
  <c r="G203" i="19" s="1"/>
  <c r="I202" i="19"/>
  <c r="H202" i="19" s="1"/>
  <c r="G202" i="19" s="1"/>
  <c r="H201" i="19"/>
  <c r="G201" i="19"/>
  <c r="H200" i="19"/>
  <c r="G200" i="19"/>
  <c r="H199" i="19"/>
  <c r="G199" i="19"/>
  <c r="H198" i="19"/>
  <c r="G198" i="19"/>
  <c r="H191" i="19"/>
  <c r="G191" i="19"/>
  <c r="H190" i="19"/>
  <c r="G190" i="19"/>
  <c r="H189" i="19"/>
  <c r="H194" i="19" s="1"/>
  <c r="G189" i="19"/>
  <c r="G194" i="19" s="1"/>
  <c r="H188" i="19"/>
  <c r="G188" i="19"/>
  <c r="H187" i="19"/>
  <c r="G187" i="19"/>
  <c r="H186" i="19"/>
  <c r="G186" i="19"/>
  <c r="H185" i="19"/>
  <c r="G185" i="19"/>
  <c r="H184" i="19"/>
  <c r="G184" i="19"/>
  <c r="H177" i="19"/>
  <c r="G177" i="19"/>
  <c r="H176" i="19"/>
  <c r="G176" i="19"/>
  <c r="H175" i="19"/>
  <c r="G175" i="19"/>
  <c r="H174" i="19"/>
  <c r="G174" i="19"/>
  <c r="H173" i="19"/>
  <c r="G173" i="19"/>
  <c r="H172" i="19"/>
  <c r="G172" i="19"/>
  <c r="H171" i="19"/>
  <c r="G171" i="19"/>
  <c r="H170" i="19"/>
  <c r="G170" i="19"/>
  <c r="H169" i="19"/>
  <c r="G169" i="19"/>
  <c r="H168" i="19"/>
  <c r="G168" i="19"/>
  <c r="H167" i="19"/>
  <c r="G167" i="19"/>
  <c r="H166" i="19"/>
  <c r="G166" i="19"/>
  <c r="H165" i="19"/>
  <c r="G165" i="19"/>
  <c r="H164" i="19"/>
  <c r="G164" i="19"/>
  <c r="G179" i="19" s="1"/>
  <c r="H157" i="19"/>
  <c r="G157" i="19"/>
  <c r="H156" i="19"/>
  <c r="G156" i="19"/>
  <c r="G160" i="19" s="1"/>
  <c r="H155" i="19"/>
  <c r="G155" i="19"/>
  <c r="H154" i="19"/>
  <c r="G154" i="19"/>
  <c r="H153" i="19"/>
  <c r="G153" i="19"/>
  <c r="H146" i="19"/>
  <c r="G146" i="19"/>
  <c r="H145" i="19"/>
  <c r="G145" i="19"/>
  <c r="H144" i="19"/>
  <c r="G144" i="19"/>
  <c r="H143" i="19"/>
  <c r="G143" i="19"/>
  <c r="H142" i="19"/>
  <c r="G142" i="19"/>
  <c r="H141" i="19"/>
  <c r="G141" i="19"/>
  <c r="H140" i="19"/>
  <c r="G140" i="19"/>
  <c r="H139" i="19"/>
  <c r="G139" i="19"/>
  <c r="H138" i="19"/>
  <c r="G138" i="19"/>
  <c r="H137" i="19"/>
  <c r="G137" i="19"/>
  <c r="K136" i="19"/>
  <c r="H136" i="19"/>
  <c r="G136" i="19" s="1"/>
  <c r="K135" i="19"/>
  <c r="H135" i="19" s="1"/>
  <c r="G135" i="19" s="1"/>
  <c r="H134" i="19"/>
  <c r="G134" i="19"/>
  <c r="H133" i="19"/>
  <c r="G133" i="19"/>
  <c r="H132" i="19"/>
  <c r="G132" i="19"/>
  <c r="H131" i="19"/>
  <c r="G131" i="19"/>
  <c r="H130" i="19"/>
  <c r="G130" i="19"/>
  <c r="H129" i="19"/>
  <c r="G129" i="19"/>
  <c r="H128" i="19"/>
  <c r="G128" i="19"/>
  <c r="H126" i="19"/>
  <c r="G126" i="19"/>
  <c r="H125" i="19"/>
  <c r="G125" i="19"/>
  <c r="H124" i="19"/>
  <c r="G124" i="19"/>
  <c r="H123" i="19"/>
  <c r="G123" i="19"/>
  <c r="H122" i="19"/>
  <c r="G122" i="19"/>
  <c r="H121" i="19"/>
  <c r="G121" i="19"/>
  <c r="H120" i="19"/>
  <c r="H119" i="19"/>
  <c r="G119" i="19" s="1"/>
  <c r="H118" i="19"/>
  <c r="G118" i="19" s="1"/>
  <c r="H117" i="19"/>
  <c r="G117" i="19" s="1"/>
  <c r="H110" i="19"/>
  <c r="G110" i="19" s="1"/>
  <c r="H109" i="19"/>
  <c r="G109" i="19" s="1"/>
  <c r="H108" i="19"/>
  <c r="G108" i="19" s="1"/>
  <c r="H107" i="19"/>
  <c r="G107" i="19" s="1"/>
  <c r="H106" i="19"/>
  <c r="G106" i="19" s="1"/>
  <c r="H105" i="19"/>
  <c r="G105" i="19" s="1"/>
  <c r="H104" i="19"/>
  <c r="G104" i="19" s="1"/>
  <c r="H103" i="19"/>
  <c r="H113" i="19" s="1"/>
  <c r="H102" i="19"/>
  <c r="H101" i="19"/>
  <c r="G101" i="19"/>
  <c r="H100" i="19"/>
  <c r="G100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G85" i="19" s="1"/>
  <c r="H84" i="19"/>
  <c r="G84" i="19" s="1"/>
  <c r="H83" i="19"/>
  <c r="G83" i="19" s="1"/>
  <c r="H82" i="19"/>
  <c r="G82" i="19" s="1"/>
  <c r="H81" i="19"/>
  <c r="G81" i="19" s="1"/>
  <c r="I80" i="19"/>
  <c r="H80" i="19" s="1"/>
  <c r="G80" i="19" s="1"/>
  <c r="I79" i="19"/>
  <c r="H79" i="19"/>
  <c r="G79" i="19" s="1"/>
  <c r="H78" i="19"/>
  <c r="G78" i="19" s="1"/>
  <c r="H77" i="19"/>
  <c r="H76" i="19"/>
  <c r="G76" i="19"/>
  <c r="H75" i="19"/>
  <c r="G75" i="19"/>
  <c r="H74" i="19"/>
  <c r="G74" i="19"/>
  <c r="H73" i="19"/>
  <c r="G73" i="19"/>
  <c r="H72" i="19"/>
  <c r="G72" i="19"/>
  <c r="H71" i="19"/>
  <c r="G71" i="19"/>
  <c r="H70" i="19"/>
  <c r="G70" i="19"/>
  <c r="H69" i="19"/>
  <c r="G69" i="19"/>
  <c r="H68" i="19"/>
  <c r="G68" i="19"/>
  <c r="H67" i="19"/>
  <c r="G67" i="19"/>
  <c r="H66" i="19"/>
  <c r="G66" i="19"/>
  <c r="H65" i="19"/>
  <c r="G65" i="19"/>
  <c r="H64" i="19"/>
  <c r="G64" i="19"/>
  <c r="H63" i="19"/>
  <c r="G63" i="19"/>
  <c r="H62" i="19"/>
  <c r="G62" i="19"/>
  <c r="H61" i="19"/>
  <c r="G61" i="19"/>
  <c r="H60" i="19"/>
  <c r="G60" i="19"/>
  <c r="H59" i="19"/>
  <c r="G59" i="19"/>
  <c r="H58" i="19"/>
  <c r="G58" i="19"/>
  <c r="H57" i="19"/>
  <c r="G57" i="19"/>
  <c r="H56" i="19"/>
  <c r="G56" i="19"/>
  <c r="H55" i="19"/>
  <c r="G55" i="19"/>
  <c r="H54" i="19"/>
  <c r="G54" i="19"/>
  <c r="H53" i="19"/>
  <c r="G53" i="19"/>
  <c r="H52" i="19"/>
  <c r="G52" i="19"/>
  <c r="H51" i="19"/>
  <c r="G51" i="19"/>
  <c r="H50" i="19"/>
  <c r="G50" i="19"/>
  <c r="H49" i="19"/>
  <c r="G49" i="19"/>
  <c r="H48" i="19"/>
  <c r="G48" i="19"/>
  <c r="H47" i="19"/>
  <c r="G47" i="19"/>
  <c r="H46" i="19"/>
  <c r="G46" i="19"/>
  <c r="H45" i="19"/>
  <c r="G45" i="19"/>
  <c r="H44" i="19"/>
  <c r="G44" i="19"/>
  <c r="H43" i="19"/>
  <c r="G43" i="19"/>
  <c r="H42" i="19"/>
  <c r="G42" i="19"/>
  <c r="H41" i="19"/>
  <c r="G41" i="19"/>
  <c r="H40" i="19"/>
  <c r="G40" i="19"/>
  <c r="H39" i="19"/>
  <c r="G39" i="19"/>
  <c r="H38" i="19"/>
  <c r="G38" i="19"/>
  <c r="H37" i="19"/>
  <c r="G37" i="19"/>
  <c r="K36" i="19"/>
  <c r="H36" i="19"/>
  <c r="G36" i="19" s="1"/>
  <c r="K35" i="19"/>
  <c r="H35" i="19" s="1"/>
  <c r="G35" i="19" s="1"/>
  <c r="H34" i="19"/>
  <c r="G34" i="19"/>
  <c r="H33" i="19"/>
  <c r="G33" i="19"/>
  <c r="H32" i="19"/>
  <c r="G32" i="19"/>
  <c r="H31" i="19"/>
  <c r="G31" i="19"/>
  <c r="H30" i="19"/>
  <c r="G30" i="19"/>
  <c r="H29" i="19"/>
  <c r="G29" i="19"/>
  <c r="H28" i="19"/>
  <c r="G28" i="19"/>
  <c r="I27" i="19"/>
  <c r="H27" i="19"/>
  <c r="G27" i="19" s="1"/>
  <c r="H26" i="19"/>
  <c r="G26" i="19" s="1"/>
  <c r="H25" i="19"/>
  <c r="G25" i="19" s="1"/>
  <c r="H24" i="19"/>
  <c r="G24" i="19" s="1"/>
  <c r="H23" i="19"/>
  <c r="G23" i="19" s="1"/>
  <c r="H22" i="19"/>
  <c r="G22" i="19" s="1"/>
  <c r="H21" i="19"/>
  <c r="G21" i="19" s="1"/>
  <c r="H20" i="19"/>
  <c r="G20" i="19" s="1"/>
  <c r="H19" i="19"/>
  <c r="G19" i="19" s="1"/>
  <c r="H18" i="19"/>
  <c r="G18" i="19" s="1"/>
  <c r="H17" i="19"/>
  <c r="G17" i="19" s="1"/>
  <c r="H16" i="19"/>
  <c r="G16" i="19" s="1"/>
  <c r="H15" i="19"/>
  <c r="G15" i="19" s="1"/>
  <c r="H14" i="19"/>
  <c r="G14" i="19" s="1"/>
  <c r="H13" i="19"/>
  <c r="G13" i="19" s="1"/>
  <c r="H12" i="19"/>
  <c r="G12" i="19" s="1"/>
  <c r="H11" i="19"/>
  <c r="G11" i="19" s="1"/>
  <c r="H10" i="19"/>
  <c r="G10" i="19" s="1"/>
  <c r="H9" i="19"/>
  <c r="G9" i="19" s="1"/>
  <c r="H8" i="19"/>
  <c r="G8" i="19" s="1"/>
  <c r="H7" i="19"/>
  <c r="G7" i="19" s="1"/>
  <c r="H6" i="19"/>
  <c r="G6" i="19" s="1"/>
  <c r="H5" i="19"/>
  <c r="G5" i="19" s="1"/>
  <c r="H97" i="13"/>
  <c r="H96" i="13"/>
  <c r="H95" i="13"/>
  <c r="H94" i="13"/>
  <c r="H93" i="13"/>
  <c r="H91" i="13"/>
  <c r="H90" i="13"/>
  <c r="H92" i="13"/>
  <c r="H78" i="13"/>
  <c r="H89" i="13"/>
  <c r="H88" i="13"/>
  <c r="H87" i="13"/>
  <c r="X49" i="16"/>
  <c r="U49" i="16"/>
  <c r="R49" i="16"/>
  <c r="O49" i="16"/>
  <c r="X48" i="16"/>
  <c r="U48" i="16"/>
  <c r="R48" i="16"/>
  <c r="O48" i="16"/>
  <c r="X47" i="16"/>
  <c r="U47" i="16"/>
  <c r="R47" i="16"/>
  <c r="O47" i="16"/>
  <c r="X46" i="16"/>
  <c r="U46" i="16"/>
  <c r="R46" i="16"/>
  <c r="O46" i="16"/>
  <c r="X43" i="16"/>
  <c r="U43" i="16"/>
  <c r="R43" i="16"/>
  <c r="O43" i="16"/>
  <c r="X42" i="16"/>
  <c r="U42" i="16"/>
  <c r="R42" i="16"/>
  <c r="O42" i="16"/>
  <c r="X41" i="16"/>
  <c r="U41" i="16"/>
  <c r="R41" i="16"/>
  <c r="O41" i="16"/>
  <c r="X40" i="16"/>
  <c r="U40" i="16"/>
  <c r="R40" i="16"/>
  <c r="O40" i="16"/>
  <c r="X39" i="16"/>
  <c r="U39" i="16"/>
  <c r="R39" i="16"/>
  <c r="O39" i="16"/>
  <c r="X38" i="16"/>
  <c r="U38" i="16"/>
  <c r="R38" i="16"/>
  <c r="O38" i="16"/>
  <c r="X37" i="16"/>
  <c r="U37" i="16"/>
  <c r="R37" i="16"/>
  <c r="O37" i="16"/>
  <c r="X36" i="16"/>
  <c r="U36" i="16"/>
  <c r="R36" i="16"/>
  <c r="O36" i="16"/>
  <c r="X35" i="16"/>
  <c r="U35" i="16"/>
  <c r="R35" i="16"/>
  <c r="O35" i="16"/>
  <c r="X32" i="16"/>
  <c r="U32" i="16"/>
  <c r="R32" i="16"/>
  <c r="O32" i="16"/>
  <c r="X31" i="16"/>
  <c r="U31" i="16"/>
  <c r="R31" i="16"/>
  <c r="O31" i="16"/>
  <c r="X30" i="16"/>
  <c r="U30" i="16"/>
  <c r="R30" i="16"/>
  <c r="O30" i="16"/>
  <c r="X29" i="16"/>
  <c r="U29" i="16"/>
  <c r="R29" i="16"/>
  <c r="O29" i="16"/>
  <c r="X28" i="16"/>
  <c r="U28" i="16"/>
  <c r="R28" i="16"/>
  <c r="O28" i="16"/>
  <c r="X27" i="16"/>
  <c r="U27" i="16"/>
  <c r="R27" i="16"/>
  <c r="O27" i="16"/>
  <c r="X24" i="16"/>
  <c r="U24" i="16"/>
  <c r="R24" i="16"/>
  <c r="O24" i="16"/>
  <c r="X23" i="16"/>
  <c r="U23" i="16"/>
  <c r="R23" i="16"/>
  <c r="O23" i="16"/>
  <c r="X22" i="16"/>
  <c r="U22" i="16"/>
  <c r="R22" i="16"/>
  <c r="O22" i="16"/>
  <c r="X21" i="16"/>
  <c r="U21" i="16"/>
  <c r="R21" i="16"/>
  <c r="O21" i="16"/>
  <c r="X10" i="16"/>
  <c r="U10" i="16"/>
  <c r="R10" i="16"/>
  <c r="O10" i="16"/>
  <c r="X20" i="16"/>
  <c r="U20" i="16"/>
  <c r="R20" i="16"/>
  <c r="O20" i="16"/>
  <c r="X19" i="16"/>
  <c r="U19" i="16"/>
  <c r="R19" i="16"/>
  <c r="O19" i="16"/>
  <c r="X16" i="16"/>
  <c r="U16" i="16"/>
  <c r="R16" i="16"/>
  <c r="O16" i="16"/>
  <c r="X15" i="16"/>
  <c r="U15" i="16"/>
  <c r="R15" i="16"/>
  <c r="O15" i="16"/>
  <c r="X14" i="16"/>
  <c r="U14" i="16"/>
  <c r="R14" i="16"/>
  <c r="O14" i="16"/>
  <c r="X13" i="16"/>
  <c r="U13" i="16"/>
  <c r="R13" i="16"/>
  <c r="O13" i="16"/>
  <c r="X9" i="16"/>
  <c r="U9" i="16"/>
  <c r="R9" i="16"/>
  <c r="O9" i="16"/>
  <c r="X8" i="16"/>
  <c r="U8" i="16"/>
  <c r="R8" i="16"/>
  <c r="O8" i="16"/>
  <c r="X7" i="16"/>
  <c r="X4" i="16" s="1"/>
  <c r="U7" i="16"/>
  <c r="R7" i="16"/>
  <c r="O7" i="16"/>
  <c r="O4" i="16" s="1"/>
  <c r="U4" i="16"/>
  <c r="R4" i="16"/>
  <c r="X49" i="15"/>
  <c r="X48" i="15"/>
  <c r="X47" i="15"/>
  <c r="X46" i="15"/>
  <c r="X43" i="15"/>
  <c r="X42" i="15"/>
  <c r="X41" i="15"/>
  <c r="X40" i="15"/>
  <c r="X39" i="15"/>
  <c r="X38" i="15"/>
  <c r="X37" i="15"/>
  <c r="X36" i="15"/>
  <c r="X35" i="15"/>
  <c r="X32" i="15"/>
  <c r="X31" i="15"/>
  <c r="X30" i="15"/>
  <c r="X29" i="15"/>
  <c r="X28" i="15"/>
  <c r="X27" i="15"/>
  <c r="X24" i="15"/>
  <c r="X23" i="15"/>
  <c r="X22" i="15"/>
  <c r="X21" i="15"/>
  <c r="X20" i="15"/>
  <c r="X19" i="15"/>
  <c r="X18" i="15"/>
  <c r="X15" i="15"/>
  <c r="X14" i="15"/>
  <c r="X13" i="15"/>
  <c r="X12" i="15"/>
  <c r="X9" i="15"/>
  <c r="X8" i="15"/>
  <c r="X7" i="15"/>
  <c r="X4" i="15" s="1"/>
  <c r="O15" i="15"/>
  <c r="O14" i="15"/>
  <c r="O13" i="15"/>
  <c r="O12" i="15"/>
  <c r="O9" i="15"/>
  <c r="O8" i="15"/>
  <c r="O7" i="15"/>
  <c r="O4" i="15" s="1"/>
  <c r="U49" i="15"/>
  <c r="U48" i="15"/>
  <c r="U47" i="15"/>
  <c r="U46" i="15"/>
  <c r="U43" i="15"/>
  <c r="U42" i="15"/>
  <c r="U41" i="15"/>
  <c r="U40" i="15"/>
  <c r="U39" i="15"/>
  <c r="U38" i="15"/>
  <c r="U37" i="15"/>
  <c r="U36" i="15"/>
  <c r="U35" i="15"/>
  <c r="U32" i="15"/>
  <c r="U31" i="15"/>
  <c r="U30" i="15"/>
  <c r="U29" i="15"/>
  <c r="U28" i="15"/>
  <c r="U27" i="15"/>
  <c r="U24" i="15"/>
  <c r="U23" i="15"/>
  <c r="U22" i="15"/>
  <c r="U21" i="15"/>
  <c r="U20" i="15"/>
  <c r="U19" i="15"/>
  <c r="U18" i="15"/>
  <c r="U15" i="15"/>
  <c r="U14" i="15"/>
  <c r="U13" i="15"/>
  <c r="U12" i="15"/>
  <c r="U4" i="15" s="1"/>
  <c r="U9" i="15"/>
  <c r="U8" i="15"/>
  <c r="U7" i="15"/>
  <c r="R49" i="15"/>
  <c r="R48" i="15"/>
  <c r="R47" i="15"/>
  <c r="R46" i="15"/>
  <c r="R43" i="15"/>
  <c r="R42" i="15"/>
  <c r="R41" i="15"/>
  <c r="R40" i="15"/>
  <c r="R39" i="15"/>
  <c r="R38" i="15"/>
  <c r="R37" i="15"/>
  <c r="R36" i="15"/>
  <c r="R35" i="15"/>
  <c r="R32" i="15"/>
  <c r="R31" i="15"/>
  <c r="R30" i="15"/>
  <c r="R29" i="15"/>
  <c r="R28" i="15"/>
  <c r="R27" i="15"/>
  <c r="R24" i="15"/>
  <c r="R23" i="15"/>
  <c r="R22" i="15"/>
  <c r="R21" i="15"/>
  <c r="R20" i="15"/>
  <c r="R19" i="15"/>
  <c r="R18" i="15"/>
  <c r="R15" i="15"/>
  <c r="R14" i="15"/>
  <c r="R13" i="15"/>
  <c r="R12" i="15"/>
  <c r="R9" i="15"/>
  <c r="R8" i="15"/>
  <c r="R4" i="15" s="1"/>
  <c r="R7" i="15"/>
  <c r="O49" i="15"/>
  <c r="O48" i="15"/>
  <c r="O47" i="15"/>
  <c r="O46" i="15"/>
  <c r="O43" i="15"/>
  <c r="O42" i="15"/>
  <c r="O41" i="15"/>
  <c r="O40" i="15"/>
  <c r="O39" i="15"/>
  <c r="O38" i="15"/>
  <c r="O37" i="15"/>
  <c r="O36" i="15"/>
  <c r="O35" i="15"/>
  <c r="O32" i="15"/>
  <c r="O31" i="15"/>
  <c r="O30" i="15"/>
  <c r="O29" i="15"/>
  <c r="O28" i="15"/>
  <c r="O27" i="15"/>
  <c r="O24" i="15"/>
  <c r="O23" i="15"/>
  <c r="O22" i="15"/>
  <c r="O21" i="15"/>
  <c r="O20" i="15"/>
  <c r="O19" i="15"/>
  <c r="O18" i="15"/>
  <c r="C20" i="16"/>
  <c r="C19" i="15"/>
  <c r="C22" i="15"/>
  <c r="C8" i="15"/>
  <c r="C49" i="15"/>
  <c r="C48" i="15"/>
  <c r="C47" i="15"/>
  <c r="C46" i="15"/>
  <c r="C43" i="15"/>
  <c r="C42" i="15"/>
  <c r="C41" i="15"/>
  <c r="C40" i="15"/>
  <c r="C39" i="15"/>
  <c r="C38" i="15"/>
  <c r="C37" i="15"/>
  <c r="C36" i="15"/>
  <c r="C35" i="15"/>
  <c r="C32" i="15"/>
  <c r="C31" i="15"/>
  <c r="C30" i="15"/>
  <c r="C29" i="15"/>
  <c r="C28" i="15"/>
  <c r="C27" i="15"/>
  <c r="C24" i="15"/>
  <c r="C23" i="15"/>
  <c r="C21" i="15"/>
  <c r="C20" i="15"/>
  <c r="C18" i="15"/>
  <c r="C15" i="15"/>
  <c r="C14" i="15"/>
  <c r="C13" i="15"/>
  <c r="C12" i="15"/>
  <c r="C9" i="15"/>
  <c r="C7" i="15"/>
  <c r="C49" i="16"/>
  <c r="C48" i="16"/>
  <c r="C47" i="16"/>
  <c r="C46" i="16"/>
  <c r="C43" i="16"/>
  <c r="C42" i="16"/>
  <c r="C41" i="16"/>
  <c r="C40" i="16"/>
  <c r="C39" i="16"/>
  <c r="C38" i="16"/>
  <c r="C37" i="16"/>
  <c r="C36" i="16"/>
  <c r="C35" i="16"/>
  <c r="C32" i="16"/>
  <c r="C31" i="16"/>
  <c r="C30" i="16"/>
  <c r="C29" i="16"/>
  <c r="C28" i="16"/>
  <c r="C27" i="16"/>
  <c r="C24" i="16"/>
  <c r="C23" i="16"/>
  <c r="C22" i="16"/>
  <c r="C21" i="16"/>
  <c r="C10" i="16"/>
  <c r="C19" i="16"/>
  <c r="C16" i="16"/>
  <c r="C15" i="16"/>
  <c r="C14" i="16"/>
  <c r="C13" i="16"/>
  <c r="C9" i="16"/>
  <c r="C8" i="16"/>
  <c r="C7" i="16"/>
  <c r="F8" i="16"/>
  <c r="L49" i="16"/>
  <c r="I49" i="16"/>
  <c r="F49" i="16"/>
  <c r="L48" i="16"/>
  <c r="I48" i="16"/>
  <c r="F48" i="16"/>
  <c r="L47" i="16"/>
  <c r="I47" i="16"/>
  <c r="F47" i="16"/>
  <c r="L46" i="16"/>
  <c r="I46" i="16"/>
  <c r="F46" i="16"/>
  <c r="L43" i="16"/>
  <c r="I43" i="16"/>
  <c r="F43" i="16"/>
  <c r="L42" i="16"/>
  <c r="I42" i="16"/>
  <c r="F42" i="16"/>
  <c r="L41" i="16"/>
  <c r="I41" i="16"/>
  <c r="F41" i="16"/>
  <c r="L40" i="16"/>
  <c r="I40" i="16"/>
  <c r="F40" i="16"/>
  <c r="L39" i="16"/>
  <c r="I39" i="16"/>
  <c r="F39" i="16"/>
  <c r="L38" i="16"/>
  <c r="I38" i="16"/>
  <c r="F38" i="16"/>
  <c r="L37" i="16"/>
  <c r="I37" i="16"/>
  <c r="F37" i="16"/>
  <c r="L36" i="16"/>
  <c r="I36" i="16"/>
  <c r="F36" i="16"/>
  <c r="L35" i="16"/>
  <c r="I35" i="16"/>
  <c r="F35" i="16"/>
  <c r="L32" i="16"/>
  <c r="I32" i="16"/>
  <c r="F32" i="16"/>
  <c r="L31" i="16"/>
  <c r="I31" i="16"/>
  <c r="F31" i="16"/>
  <c r="L30" i="16"/>
  <c r="I30" i="16"/>
  <c r="F30" i="16"/>
  <c r="L29" i="16"/>
  <c r="I29" i="16"/>
  <c r="F29" i="16"/>
  <c r="L28" i="16"/>
  <c r="I28" i="16"/>
  <c r="F28" i="16"/>
  <c r="L27" i="16"/>
  <c r="I27" i="16"/>
  <c r="F27" i="16"/>
  <c r="L24" i="16"/>
  <c r="I24" i="16"/>
  <c r="F24" i="16"/>
  <c r="L23" i="16"/>
  <c r="I23" i="16"/>
  <c r="F23" i="16"/>
  <c r="L22" i="16"/>
  <c r="I22" i="16"/>
  <c r="F22" i="16"/>
  <c r="L21" i="16"/>
  <c r="I21" i="16"/>
  <c r="F21" i="16"/>
  <c r="L10" i="16"/>
  <c r="I10" i="16"/>
  <c r="F10" i="16"/>
  <c r="L20" i="16"/>
  <c r="I20" i="16"/>
  <c r="F20" i="16"/>
  <c r="L19" i="16"/>
  <c r="I19" i="16"/>
  <c r="F19" i="16"/>
  <c r="L16" i="16"/>
  <c r="I16" i="16"/>
  <c r="F16" i="16"/>
  <c r="L15" i="16"/>
  <c r="I15" i="16"/>
  <c r="F15" i="16"/>
  <c r="L14" i="16"/>
  <c r="I14" i="16"/>
  <c r="F14" i="16"/>
  <c r="L13" i="16"/>
  <c r="I13" i="16"/>
  <c r="F13" i="16"/>
  <c r="L9" i="16"/>
  <c r="I9" i="16"/>
  <c r="F9" i="16"/>
  <c r="L8" i="16"/>
  <c r="I8" i="16"/>
  <c r="I4" i="16" s="1"/>
  <c r="L7" i="16"/>
  <c r="L4" i="16" s="1"/>
  <c r="I7" i="16"/>
  <c r="F7" i="16"/>
  <c r="F4" i="16" s="1"/>
  <c r="L49" i="15"/>
  <c r="L48" i="15"/>
  <c r="L47" i="15"/>
  <c r="L46" i="15"/>
  <c r="I49" i="15"/>
  <c r="I48" i="15"/>
  <c r="I47" i="15"/>
  <c r="I46" i="15"/>
  <c r="F49" i="15"/>
  <c r="F48" i="15"/>
  <c r="F47" i="15"/>
  <c r="F46" i="15"/>
  <c r="L43" i="15"/>
  <c r="L42" i="15"/>
  <c r="L41" i="15"/>
  <c r="L40" i="15"/>
  <c r="L39" i="15"/>
  <c r="L38" i="15"/>
  <c r="L37" i="15"/>
  <c r="L36" i="15"/>
  <c r="L35" i="15"/>
  <c r="I43" i="15"/>
  <c r="I42" i="15"/>
  <c r="I41" i="15"/>
  <c r="I40" i="15"/>
  <c r="I39" i="15"/>
  <c r="I38" i="15"/>
  <c r="I37" i="15"/>
  <c r="I36" i="15"/>
  <c r="I35" i="15"/>
  <c r="F43" i="15"/>
  <c r="F42" i="15"/>
  <c r="F41" i="15"/>
  <c r="F40" i="15"/>
  <c r="F39" i="15"/>
  <c r="F38" i="15"/>
  <c r="F37" i="15"/>
  <c r="F36" i="15"/>
  <c r="F35" i="15"/>
  <c r="L32" i="15"/>
  <c r="L31" i="15"/>
  <c r="L30" i="15"/>
  <c r="L29" i="15"/>
  <c r="L28" i="15"/>
  <c r="L27" i="15"/>
  <c r="I32" i="15"/>
  <c r="I31" i="15"/>
  <c r="I30" i="15"/>
  <c r="I29" i="15"/>
  <c r="I28" i="15"/>
  <c r="I27" i="15"/>
  <c r="F32" i="15"/>
  <c r="F31" i="15"/>
  <c r="F30" i="15"/>
  <c r="F29" i="15"/>
  <c r="F28" i="15"/>
  <c r="F27" i="15"/>
  <c r="L24" i="15"/>
  <c r="L23" i="15"/>
  <c r="L22" i="15"/>
  <c r="L21" i="15"/>
  <c r="L20" i="15"/>
  <c r="L19" i="15"/>
  <c r="L18" i="15"/>
  <c r="I24" i="15"/>
  <c r="I23" i="15"/>
  <c r="I22" i="15"/>
  <c r="I21" i="15"/>
  <c r="I20" i="15"/>
  <c r="I19" i="15"/>
  <c r="I18" i="15"/>
  <c r="F24" i="15"/>
  <c r="F23" i="15"/>
  <c r="F22" i="15"/>
  <c r="F21" i="15"/>
  <c r="F20" i="15"/>
  <c r="F19" i="15"/>
  <c r="F18" i="15"/>
  <c r="L15" i="15"/>
  <c r="L14" i="15"/>
  <c r="L13" i="15"/>
  <c r="L12" i="15"/>
  <c r="I15" i="15"/>
  <c r="I14" i="15"/>
  <c r="I13" i="15"/>
  <c r="I12" i="15"/>
  <c r="L9" i="15"/>
  <c r="L8" i="15"/>
  <c r="L7" i="15"/>
  <c r="I9" i="15"/>
  <c r="I8" i="15"/>
  <c r="I4" i="15" s="1"/>
  <c r="I7" i="15"/>
  <c r="F7" i="15"/>
  <c r="F15" i="15"/>
  <c r="F14" i="15"/>
  <c r="F13" i="15"/>
  <c r="F12" i="15"/>
  <c r="F4" i="15" s="1"/>
  <c r="F9" i="15"/>
  <c r="F8" i="15"/>
  <c r="E52" i="14"/>
  <c r="E29" i="14"/>
  <c r="D54" i="14"/>
  <c r="D31" i="14"/>
  <c r="H8" i="13"/>
  <c r="G8" i="13"/>
  <c r="H195" i="13"/>
  <c r="G195" i="13"/>
  <c r="H194" i="13"/>
  <c r="G194" i="13" s="1"/>
  <c r="H193" i="13"/>
  <c r="H198" i="13" s="1"/>
  <c r="H192" i="13"/>
  <c r="G192" i="13" s="1"/>
  <c r="H191" i="13"/>
  <c r="G191" i="13" s="1"/>
  <c r="H190" i="13"/>
  <c r="H197" i="13" s="1"/>
  <c r="H189" i="13"/>
  <c r="G189" i="13"/>
  <c r="H188" i="13"/>
  <c r="G188" i="13" s="1"/>
  <c r="H213" i="13"/>
  <c r="G213" i="13" s="1"/>
  <c r="H212" i="13"/>
  <c r="G212" i="13" s="1"/>
  <c r="H211" i="13"/>
  <c r="G211" i="13" s="1"/>
  <c r="H210" i="13"/>
  <c r="G210" i="13"/>
  <c r="H209" i="13"/>
  <c r="G209" i="13"/>
  <c r="H208" i="13"/>
  <c r="G208" i="13" s="1"/>
  <c r="I207" i="13"/>
  <c r="H207" i="13" s="1"/>
  <c r="G207" i="13" s="1"/>
  <c r="I206" i="13"/>
  <c r="H206" i="13" s="1"/>
  <c r="G206" i="13" s="1"/>
  <c r="H205" i="13"/>
  <c r="G205" i="13" s="1"/>
  <c r="H204" i="13"/>
  <c r="G204" i="13" s="1"/>
  <c r="H203" i="13"/>
  <c r="G203" i="13" s="1"/>
  <c r="H202" i="13"/>
  <c r="G202" i="13"/>
  <c r="H181" i="13"/>
  <c r="G181" i="13" s="1"/>
  <c r="H180" i="13"/>
  <c r="G180" i="13" s="1"/>
  <c r="H179" i="13"/>
  <c r="G179" i="13" s="1"/>
  <c r="H178" i="13"/>
  <c r="G178" i="13"/>
  <c r="H177" i="13"/>
  <c r="G177" i="13" s="1"/>
  <c r="H176" i="13"/>
  <c r="G176" i="13" s="1"/>
  <c r="H175" i="13"/>
  <c r="G175" i="13" s="1"/>
  <c r="H174" i="13"/>
  <c r="G174" i="13" s="1"/>
  <c r="H173" i="13"/>
  <c r="G173" i="13" s="1"/>
  <c r="H172" i="13"/>
  <c r="G172" i="13" s="1"/>
  <c r="H171" i="13"/>
  <c r="G171" i="13" s="1"/>
  <c r="H170" i="13"/>
  <c r="G170" i="13"/>
  <c r="H169" i="13"/>
  <c r="G169" i="13" s="1"/>
  <c r="H168" i="13"/>
  <c r="G168" i="13" s="1"/>
  <c r="H161" i="13"/>
  <c r="H164" i="13" s="1"/>
  <c r="G161" i="13"/>
  <c r="G164" i="13" s="1"/>
  <c r="H160" i="13"/>
  <c r="G160" i="13"/>
  <c r="H157" i="13"/>
  <c r="G157" i="13" s="1"/>
  <c r="H155" i="13"/>
  <c r="G155" i="13" s="1"/>
  <c r="H154" i="13"/>
  <c r="G154" i="13" s="1"/>
  <c r="H147" i="13"/>
  <c r="G147" i="13" s="1"/>
  <c r="H146" i="13"/>
  <c r="G146" i="13"/>
  <c r="H145" i="13"/>
  <c r="G145" i="13"/>
  <c r="H144" i="13"/>
  <c r="G144" i="13" s="1"/>
  <c r="H143" i="13"/>
  <c r="G143" i="13" s="1"/>
  <c r="H142" i="13"/>
  <c r="G142" i="13" s="1"/>
  <c r="H141" i="13"/>
  <c r="G141" i="13" s="1"/>
  <c r="H140" i="13"/>
  <c r="G140" i="13"/>
  <c r="H139" i="13"/>
  <c r="G139" i="13" s="1"/>
  <c r="H138" i="13"/>
  <c r="G138" i="13" s="1"/>
  <c r="K137" i="13"/>
  <c r="H137" i="13" s="1"/>
  <c r="G137" i="13" s="1"/>
  <c r="K136" i="13"/>
  <c r="H136" i="13" s="1"/>
  <c r="G136" i="13" s="1"/>
  <c r="H135" i="13"/>
  <c r="G135" i="13" s="1"/>
  <c r="H134" i="13"/>
  <c r="G134" i="13" s="1"/>
  <c r="H133" i="13"/>
  <c r="G133" i="13" s="1"/>
  <c r="H132" i="13"/>
  <c r="G132" i="13" s="1"/>
  <c r="H131" i="13"/>
  <c r="G131" i="13" s="1"/>
  <c r="H130" i="13"/>
  <c r="G130" i="13" s="1"/>
  <c r="H129" i="13"/>
  <c r="G129" i="13" s="1"/>
  <c r="I128" i="13"/>
  <c r="H128" i="13" s="1"/>
  <c r="G128" i="13" s="1"/>
  <c r="H127" i="13"/>
  <c r="G127" i="13"/>
  <c r="H126" i="13"/>
  <c r="G126" i="13" s="1"/>
  <c r="H125" i="13"/>
  <c r="G125" i="13" s="1"/>
  <c r="H124" i="13"/>
  <c r="G124" i="13" s="1"/>
  <c r="H123" i="13"/>
  <c r="G123" i="13" s="1"/>
  <c r="H122" i="13"/>
  <c r="G122" i="13"/>
  <c r="H121" i="13"/>
  <c r="G121" i="13"/>
  <c r="H120" i="13"/>
  <c r="G120" i="13" s="1"/>
  <c r="H119" i="13"/>
  <c r="G119" i="13" s="1"/>
  <c r="H118" i="13"/>
  <c r="G118" i="13" s="1"/>
  <c r="H111" i="13"/>
  <c r="G111" i="13" s="1"/>
  <c r="H110" i="13"/>
  <c r="G110" i="13"/>
  <c r="H109" i="13"/>
  <c r="G109" i="13"/>
  <c r="H108" i="13"/>
  <c r="G108" i="13" s="1"/>
  <c r="H107" i="13"/>
  <c r="G107" i="13" s="1"/>
  <c r="H106" i="13"/>
  <c r="G106" i="13" s="1"/>
  <c r="H105" i="13"/>
  <c r="G105" i="13" s="1"/>
  <c r="H104" i="13"/>
  <c r="G104" i="13" s="1"/>
  <c r="H103" i="13"/>
  <c r="G103" i="13"/>
  <c r="H102" i="13"/>
  <c r="G102" i="13" s="1"/>
  <c r="H101" i="13"/>
  <c r="H113" i="13" s="1"/>
  <c r="I80" i="13"/>
  <c r="H80" i="13" s="1"/>
  <c r="G80" i="13" s="1"/>
  <c r="H86" i="13"/>
  <c r="G86" i="13" s="1"/>
  <c r="H84" i="13"/>
  <c r="G84" i="13" s="1"/>
  <c r="I81" i="13"/>
  <c r="H81" i="13" s="1"/>
  <c r="G81" i="13" s="1"/>
  <c r="H83" i="13"/>
  <c r="G83" i="13" s="1"/>
  <c r="H82" i="13"/>
  <c r="G82" i="13" s="1"/>
  <c r="H79" i="13"/>
  <c r="G79" i="13" s="1"/>
  <c r="H77" i="13"/>
  <c r="G77" i="13"/>
  <c r="H76" i="13"/>
  <c r="G76" i="13"/>
  <c r="H75" i="13"/>
  <c r="G75" i="13" s="1"/>
  <c r="H66" i="13"/>
  <c r="G66" i="13" s="1"/>
  <c r="H65" i="13"/>
  <c r="G65" i="13" s="1"/>
  <c r="H64" i="13"/>
  <c r="G64" i="13" s="1"/>
  <c r="H63" i="13"/>
  <c r="G63" i="13"/>
  <c r="H62" i="13"/>
  <c r="G62" i="13"/>
  <c r="H61" i="13"/>
  <c r="G61" i="13" s="1"/>
  <c r="H60" i="13"/>
  <c r="G60" i="13" s="1"/>
  <c r="H59" i="13"/>
  <c r="G59" i="13" s="1"/>
  <c r="H58" i="13"/>
  <c r="G58" i="13" s="1"/>
  <c r="H57" i="13"/>
  <c r="G57" i="13"/>
  <c r="H56" i="13"/>
  <c r="G56" i="13"/>
  <c r="H55" i="13"/>
  <c r="G55" i="13" s="1"/>
  <c r="H54" i="13"/>
  <c r="G54" i="13" s="1"/>
  <c r="H74" i="13"/>
  <c r="G74" i="13" s="1"/>
  <c r="H53" i="13"/>
  <c r="G53" i="13" s="1"/>
  <c r="H52" i="13"/>
  <c r="G52" i="13"/>
  <c r="H73" i="13"/>
  <c r="G73" i="13"/>
  <c r="H71" i="13"/>
  <c r="G71" i="13" s="1"/>
  <c r="H70" i="13"/>
  <c r="G70" i="13" s="1"/>
  <c r="H69" i="13"/>
  <c r="G69" i="13" s="1"/>
  <c r="H68" i="13"/>
  <c r="G68" i="13" s="1"/>
  <c r="H67" i="13"/>
  <c r="G67" i="13" s="1"/>
  <c r="H51" i="13"/>
  <c r="G51" i="13"/>
  <c r="H50" i="13"/>
  <c r="G50" i="13" s="1"/>
  <c r="H49" i="13"/>
  <c r="G49" i="13" s="1"/>
  <c r="H48" i="13"/>
  <c r="G48" i="13" s="1"/>
  <c r="H47" i="13"/>
  <c r="G47" i="13" s="1"/>
  <c r="H46" i="13"/>
  <c r="G46" i="13"/>
  <c r="H45" i="13"/>
  <c r="G45" i="13" s="1"/>
  <c r="H44" i="13"/>
  <c r="G44" i="13" s="1"/>
  <c r="H43" i="13"/>
  <c r="G43" i="13" s="1"/>
  <c r="H42" i="13"/>
  <c r="G42" i="13" s="1"/>
  <c r="H41" i="13"/>
  <c r="G41" i="13" s="1"/>
  <c r="H40" i="13"/>
  <c r="G40" i="13"/>
  <c r="H39" i="13"/>
  <c r="G39" i="13"/>
  <c r="H38" i="13"/>
  <c r="G38" i="13" s="1"/>
  <c r="K37" i="13"/>
  <c r="H37" i="13" s="1"/>
  <c r="G37" i="13" s="1"/>
  <c r="K36" i="13"/>
  <c r="H36" i="13" s="1"/>
  <c r="G36" i="13" s="1"/>
  <c r="H35" i="13"/>
  <c r="G35" i="13" s="1"/>
  <c r="H34" i="13"/>
  <c r="G34" i="13" s="1"/>
  <c r="H33" i="13"/>
  <c r="G33" i="13" s="1"/>
  <c r="H32" i="13"/>
  <c r="G32" i="13"/>
  <c r="H31" i="13"/>
  <c r="G31" i="13" s="1"/>
  <c r="H30" i="13"/>
  <c r="G30" i="13" s="1"/>
  <c r="H29" i="13"/>
  <c r="G29" i="13" s="1"/>
  <c r="I28" i="13"/>
  <c r="H28" i="13" s="1"/>
  <c r="G28" i="13" s="1"/>
  <c r="H27" i="13"/>
  <c r="G27" i="13"/>
  <c r="H26" i="13"/>
  <c r="G26" i="13" s="1"/>
  <c r="H25" i="13"/>
  <c r="G25" i="13" s="1"/>
  <c r="H24" i="13"/>
  <c r="G24" i="13" s="1"/>
  <c r="H23" i="13"/>
  <c r="G23" i="13" s="1"/>
  <c r="H22" i="13"/>
  <c r="G22" i="13" s="1"/>
  <c r="H21" i="13"/>
  <c r="G21" i="13" s="1"/>
  <c r="H20" i="13"/>
  <c r="G20" i="13" s="1"/>
  <c r="H19" i="13"/>
  <c r="G19" i="13"/>
  <c r="H18" i="13"/>
  <c r="G18" i="13" s="1"/>
  <c r="H72" i="13"/>
  <c r="G72" i="13" s="1"/>
  <c r="H17" i="13"/>
  <c r="G17" i="13" s="1"/>
  <c r="H16" i="13"/>
  <c r="G16" i="13"/>
  <c r="H15" i="13"/>
  <c r="G15" i="13" s="1"/>
  <c r="H14" i="13"/>
  <c r="G14" i="13" s="1"/>
  <c r="H13" i="13"/>
  <c r="G13" i="13" s="1"/>
  <c r="H12" i="13"/>
  <c r="G12" i="13" s="1"/>
  <c r="H11" i="13"/>
  <c r="G11" i="13" s="1"/>
  <c r="H10" i="13"/>
  <c r="G10" i="13" s="1"/>
  <c r="H9" i="13"/>
  <c r="G9" i="13" s="1"/>
  <c r="H7" i="13"/>
  <c r="G7" i="13" s="1"/>
  <c r="H6" i="13"/>
  <c r="G6" i="13" s="1"/>
  <c r="C65" i="14"/>
  <c r="E64" i="14"/>
  <c r="E63" i="14"/>
  <c r="E62" i="14"/>
  <c r="E61" i="14"/>
  <c r="E60" i="14"/>
  <c r="C54" i="14"/>
  <c r="E53" i="14"/>
  <c r="E51" i="14"/>
  <c r="E50" i="14"/>
  <c r="E49" i="14"/>
  <c r="E48" i="14"/>
  <c r="C41" i="14"/>
  <c r="E40" i="14"/>
  <c r="E39" i="14"/>
  <c r="E38" i="14"/>
  <c r="E37" i="14"/>
  <c r="E36" i="14"/>
  <c r="C31" i="14"/>
  <c r="E30" i="14"/>
  <c r="E28" i="14"/>
  <c r="E27" i="14"/>
  <c r="E26" i="14"/>
  <c r="E25" i="14"/>
  <c r="C19" i="14"/>
  <c r="E16" i="14"/>
  <c r="E17" i="14"/>
  <c r="E18" i="14"/>
  <c r="E15" i="14"/>
  <c r="E14" i="14"/>
  <c r="H85" i="13"/>
  <c r="G85" i="13" s="1"/>
  <c r="K55" i="7"/>
  <c r="M55" i="7"/>
  <c r="N55" i="7"/>
  <c r="P55" i="7"/>
  <c r="Q55" i="7"/>
  <c r="S55" i="7"/>
  <c r="T55" i="7"/>
  <c r="J55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4" i="7"/>
  <c r="C52" i="7"/>
  <c r="J52" i="7" s="1"/>
  <c r="C51" i="7"/>
  <c r="M51" i="7" s="1"/>
  <c r="C50" i="7"/>
  <c r="P50" i="7" s="1"/>
  <c r="C49" i="7"/>
  <c r="S49" i="7" s="1"/>
  <c r="C48" i="7"/>
  <c r="P48" i="7" s="1"/>
  <c r="C47" i="7"/>
  <c r="C46" i="7"/>
  <c r="J46" i="7" s="1"/>
  <c r="C45" i="7"/>
  <c r="M45" i="7" s="1"/>
  <c r="C44" i="7"/>
  <c r="P44" i="7" s="1"/>
  <c r="C42" i="7"/>
  <c r="P42" i="7" s="1"/>
  <c r="C41" i="7"/>
  <c r="C40" i="7"/>
  <c r="M40" i="7" s="1"/>
  <c r="C39" i="7"/>
  <c r="M39" i="7" s="1"/>
  <c r="C38" i="7"/>
  <c r="P38" i="7" s="1"/>
  <c r="C37" i="7"/>
  <c r="M37" i="7" s="1"/>
  <c r="C35" i="7"/>
  <c r="B35" i="7" s="1"/>
  <c r="C34" i="7"/>
  <c r="C33" i="7"/>
  <c r="B33" i="7" s="1"/>
  <c r="C32" i="7"/>
  <c r="S32" i="7" s="1"/>
  <c r="C31" i="7"/>
  <c r="P31" i="7" s="1"/>
  <c r="C30" i="7"/>
  <c r="S30" i="7" s="1"/>
  <c r="C29" i="7"/>
  <c r="P29" i="7" s="1"/>
  <c r="C28" i="7"/>
  <c r="C26" i="7"/>
  <c r="J26" i="7" s="1"/>
  <c r="C25" i="7"/>
  <c r="P25" i="7" s="1"/>
  <c r="C24" i="7"/>
  <c r="S24" i="7" s="1"/>
  <c r="C23" i="7"/>
  <c r="J23" i="7" s="1"/>
  <c r="C22" i="7"/>
  <c r="S22" i="7" s="1"/>
  <c r="C21" i="7"/>
  <c r="C20" i="7"/>
  <c r="S20" i="7" s="1"/>
  <c r="C19" i="7"/>
  <c r="M19" i="7" s="1"/>
  <c r="C18" i="7"/>
  <c r="B18" i="7" s="1"/>
  <c r="C16" i="7"/>
  <c r="S16" i="7" s="1"/>
  <c r="C15" i="7"/>
  <c r="M15" i="7" s="1"/>
  <c r="C14" i="7"/>
  <c r="C13" i="7"/>
  <c r="S13" i="7" s="1"/>
  <c r="C12" i="7"/>
  <c r="S12" i="7" s="1"/>
  <c r="C11" i="7"/>
  <c r="M11" i="7" s="1"/>
  <c r="C8" i="7"/>
  <c r="B8" i="7" s="1"/>
  <c r="C7" i="7"/>
  <c r="S7" i="7" s="1"/>
  <c r="C6" i="7"/>
  <c r="B6" i="7" s="1"/>
  <c r="T6" i="7" s="1"/>
  <c r="C5" i="7"/>
  <c r="J5" i="7" s="1"/>
  <c r="C4" i="7"/>
  <c r="J4" i="7" s="1"/>
  <c r="H17" i="1"/>
  <c r="G17" i="1"/>
  <c r="G38" i="6"/>
  <c r="H38" i="6" s="1"/>
  <c r="G12" i="6"/>
  <c r="H12" i="6" s="1"/>
  <c r="G33" i="6"/>
  <c r="H33" i="6" s="1"/>
  <c r="C33" i="6"/>
  <c r="B33" i="6" s="1"/>
  <c r="X33" i="6" s="1"/>
  <c r="G32" i="6"/>
  <c r="H32" i="6" s="1"/>
  <c r="C32" i="6"/>
  <c r="B32" i="6" s="1"/>
  <c r="U32" i="6" s="1"/>
  <c r="G51" i="6"/>
  <c r="H51" i="6" s="1"/>
  <c r="C51" i="6"/>
  <c r="B51" i="6" s="1"/>
  <c r="L51" i="6" s="1"/>
  <c r="G34" i="6"/>
  <c r="H34" i="6" s="1"/>
  <c r="G15" i="6"/>
  <c r="H15" i="6" s="1"/>
  <c r="C15" i="6"/>
  <c r="N15" i="6" s="1"/>
  <c r="C34" i="6"/>
  <c r="B34" i="6" s="1"/>
  <c r="R34" i="6" s="1"/>
  <c r="C24" i="6"/>
  <c r="N24" i="6" s="1"/>
  <c r="X55" i="6"/>
  <c r="W55" i="6"/>
  <c r="U55" i="6"/>
  <c r="T55" i="6"/>
  <c r="R55" i="6"/>
  <c r="Q55" i="6"/>
  <c r="O55" i="6"/>
  <c r="N55" i="6"/>
  <c r="L55" i="6"/>
  <c r="K55" i="6"/>
  <c r="G52" i="6"/>
  <c r="H52" i="6" s="1"/>
  <c r="C52" i="6"/>
  <c r="N52" i="6" s="1"/>
  <c r="G50" i="6"/>
  <c r="H50" i="6" s="1"/>
  <c r="C50" i="6"/>
  <c r="Q50" i="6" s="1"/>
  <c r="G49" i="6"/>
  <c r="H49" i="6" s="1"/>
  <c r="C49" i="6"/>
  <c r="T49" i="6" s="1"/>
  <c r="G48" i="6"/>
  <c r="H48" i="6" s="1"/>
  <c r="C48" i="6"/>
  <c r="W48" i="6" s="1"/>
  <c r="G47" i="6"/>
  <c r="H47" i="6" s="1"/>
  <c r="C47" i="6"/>
  <c r="W47" i="6" s="1"/>
  <c r="G46" i="6"/>
  <c r="H46" i="6" s="1"/>
  <c r="C46" i="6"/>
  <c r="K46" i="6" s="1"/>
  <c r="G45" i="6"/>
  <c r="H45" i="6" s="1"/>
  <c r="C45" i="6"/>
  <c r="N45" i="6" s="1"/>
  <c r="G44" i="6"/>
  <c r="H44" i="6" s="1"/>
  <c r="C44" i="6"/>
  <c r="Q44" i="6" s="1"/>
  <c r="G43" i="6"/>
  <c r="G42" i="6"/>
  <c r="H42" i="6" s="1"/>
  <c r="C42" i="6"/>
  <c r="T42" i="6" s="1"/>
  <c r="G41" i="6"/>
  <c r="H41" i="6" s="1"/>
  <c r="C41" i="6"/>
  <c r="Q41" i="6" s="1"/>
  <c r="G40" i="6"/>
  <c r="H40" i="6" s="1"/>
  <c r="C40" i="6"/>
  <c r="T40" i="6" s="1"/>
  <c r="G39" i="6"/>
  <c r="H39" i="6" s="1"/>
  <c r="C39" i="6"/>
  <c r="K39" i="6" s="1"/>
  <c r="C38" i="6"/>
  <c r="K38" i="6" s="1"/>
  <c r="G37" i="6"/>
  <c r="H37" i="6" s="1"/>
  <c r="C37" i="6"/>
  <c r="W37" i="6" s="1"/>
  <c r="G35" i="6"/>
  <c r="H35" i="6" s="1"/>
  <c r="C35" i="6"/>
  <c r="T35" i="6" s="1"/>
  <c r="G31" i="6"/>
  <c r="H31" i="6" s="1"/>
  <c r="C31" i="6"/>
  <c r="T31" i="6" s="1"/>
  <c r="G30" i="6"/>
  <c r="H30" i="6" s="1"/>
  <c r="C30" i="6"/>
  <c r="W30" i="6" s="1"/>
  <c r="G29" i="6"/>
  <c r="H29" i="6" s="1"/>
  <c r="C29" i="6"/>
  <c r="Q29" i="6" s="1"/>
  <c r="G28" i="6"/>
  <c r="H28" i="6" s="1"/>
  <c r="C28" i="6"/>
  <c r="T28" i="6" s="1"/>
  <c r="G26" i="6"/>
  <c r="H26" i="6" s="1"/>
  <c r="C26" i="6"/>
  <c r="W26" i="6" s="1"/>
  <c r="G25" i="6"/>
  <c r="H25" i="6" s="1"/>
  <c r="C25" i="6"/>
  <c r="Q25" i="6" s="1"/>
  <c r="G24" i="6"/>
  <c r="H24" i="6" s="1"/>
  <c r="G23" i="6"/>
  <c r="H23" i="6" s="1"/>
  <c r="C23" i="6"/>
  <c r="W23" i="6" s="1"/>
  <c r="G22" i="6"/>
  <c r="H22" i="6" s="1"/>
  <c r="C22" i="6"/>
  <c r="N22" i="6" s="1"/>
  <c r="G21" i="6"/>
  <c r="H21" i="6" s="1"/>
  <c r="C21" i="6"/>
  <c r="B21" i="6" s="1"/>
  <c r="O21" i="6" s="1"/>
  <c r="G20" i="6"/>
  <c r="H20" i="6" s="1"/>
  <c r="C20" i="6"/>
  <c r="W20" i="6" s="1"/>
  <c r="G19" i="6"/>
  <c r="H19" i="6" s="1"/>
  <c r="C19" i="6"/>
  <c r="N19" i="6" s="1"/>
  <c r="G18" i="6"/>
  <c r="H18" i="6" s="1"/>
  <c r="C18" i="6"/>
  <c r="B18" i="6" s="1"/>
  <c r="X18" i="6" s="1"/>
  <c r="G16" i="6"/>
  <c r="H16" i="6" s="1"/>
  <c r="C16" i="6"/>
  <c r="W16" i="6" s="1"/>
  <c r="G14" i="6"/>
  <c r="H14" i="6" s="1"/>
  <c r="C14" i="6"/>
  <c r="N14" i="6" s="1"/>
  <c r="G13" i="6"/>
  <c r="H13" i="6" s="1"/>
  <c r="C13" i="6"/>
  <c r="B13" i="6" s="1"/>
  <c r="O13" i="6" s="1"/>
  <c r="C12" i="6"/>
  <c r="N12" i="6" s="1"/>
  <c r="G11" i="6"/>
  <c r="H11" i="6" s="1"/>
  <c r="C11" i="6"/>
  <c r="B11" i="6" s="1"/>
  <c r="X11" i="6" s="1"/>
  <c r="G8" i="6"/>
  <c r="H8" i="6" s="1"/>
  <c r="C8" i="6"/>
  <c r="W8" i="6" s="1"/>
  <c r="G7" i="6"/>
  <c r="H7" i="6" s="1"/>
  <c r="C7" i="6"/>
  <c r="N7" i="6" s="1"/>
  <c r="G6" i="6"/>
  <c r="H6" i="6" s="1"/>
  <c r="C6" i="6"/>
  <c r="B6" i="6" s="1"/>
  <c r="O6" i="6" s="1"/>
  <c r="G5" i="6"/>
  <c r="H5" i="6" s="1"/>
  <c r="C5" i="6"/>
  <c r="W5" i="6" s="1"/>
  <c r="G4" i="6"/>
  <c r="H4" i="6" s="1"/>
  <c r="C4" i="6"/>
  <c r="N4" i="6" s="1"/>
  <c r="G11" i="5"/>
  <c r="H11" i="5" s="1"/>
  <c r="G12" i="5"/>
  <c r="H12" i="5" s="1"/>
  <c r="G13" i="5"/>
  <c r="H13" i="5" s="1"/>
  <c r="G14" i="5"/>
  <c r="G15" i="5"/>
  <c r="H15" i="5" s="1"/>
  <c r="G16" i="5"/>
  <c r="H16" i="5" s="1"/>
  <c r="G18" i="5"/>
  <c r="H18" i="5" s="1"/>
  <c r="G19" i="5"/>
  <c r="H19" i="5" s="1"/>
  <c r="G20" i="5"/>
  <c r="H20" i="5" s="1"/>
  <c r="G21" i="5"/>
  <c r="G22" i="5"/>
  <c r="H22" i="5" s="1"/>
  <c r="G23" i="5"/>
  <c r="H23" i="5" s="1"/>
  <c r="G24" i="5"/>
  <c r="G25" i="5"/>
  <c r="H25" i="5" s="1"/>
  <c r="G26" i="5"/>
  <c r="H26" i="5" s="1"/>
  <c r="G28" i="5"/>
  <c r="G29" i="5"/>
  <c r="H29" i="5" s="1"/>
  <c r="G30" i="5"/>
  <c r="H30" i="5" s="1"/>
  <c r="G31" i="5"/>
  <c r="G32" i="5"/>
  <c r="H32" i="5" s="1"/>
  <c r="G34" i="5"/>
  <c r="G35" i="5"/>
  <c r="H35" i="5" s="1"/>
  <c r="G36" i="5"/>
  <c r="H36" i="5" s="1"/>
  <c r="G37" i="5"/>
  <c r="H37" i="5" s="1"/>
  <c r="G38" i="5"/>
  <c r="H38" i="5" s="1"/>
  <c r="G39" i="5"/>
  <c r="H39" i="5" s="1"/>
  <c r="G40" i="5"/>
  <c r="G41" i="5"/>
  <c r="H41" i="5" s="1"/>
  <c r="G42" i="5"/>
  <c r="H42" i="5" s="1"/>
  <c r="G43" i="5"/>
  <c r="G44" i="5"/>
  <c r="H44" i="5" s="1"/>
  <c r="G45" i="5"/>
  <c r="H45" i="5" s="1"/>
  <c r="G46" i="5"/>
  <c r="H46" i="5" s="1"/>
  <c r="G47" i="5"/>
  <c r="H47" i="5" s="1"/>
  <c r="G48" i="5"/>
  <c r="H48" i="5" s="1"/>
  <c r="G5" i="5"/>
  <c r="H5" i="5" s="1"/>
  <c r="G6" i="5"/>
  <c r="G7" i="5"/>
  <c r="H7" i="5" s="1"/>
  <c r="G8" i="5"/>
  <c r="H8" i="5" s="1"/>
  <c r="G4" i="5"/>
  <c r="U51" i="5"/>
  <c r="T51" i="5"/>
  <c r="W51" i="5"/>
  <c r="X51" i="5"/>
  <c r="N41" i="5"/>
  <c r="C41" i="5"/>
  <c r="B41" i="5" s="1"/>
  <c r="L41" i="5" s="1"/>
  <c r="C47" i="5"/>
  <c r="B47" i="5" s="1"/>
  <c r="C48" i="5"/>
  <c r="T48" i="5" s="1"/>
  <c r="N48" i="5"/>
  <c r="Q48" i="5"/>
  <c r="C39" i="5"/>
  <c r="B39" i="5" s="1"/>
  <c r="C37" i="5"/>
  <c r="B37" i="5" s="1"/>
  <c r="C24" i="5"/>
  <c r="B24" i="5" s="1"/>
  <c r="H24" i="5"/>
  <c r="T24" i="5"/>
  <c r="C25" i="5"/>
  <c r="T25" i="5" s="1"/>
  <c r="C26" i="5"/>
  <c r="Q26" i="5" s="1"/>
  <c r="N26" i="5"/>
  <c r="C32" i="5"/>
  <c r="B32" i="5" s="1"/>
  <c r="C29" i="5"/>
  <c r="B29" i="5" s="1"/>
  <c r="C30" i="5"/>
  <c r="T30" i="5" s="1"/>
  <c r="C31" i="5"/>
  <c r="T31" i="5" s="1"/>
  <c r="H31" i="5"/>
  <c r="H21" i="5"/>
  <c r="C21" i="5"/>
  <c r="W21" i="5" s="1"/>
  <c r="C18" i="5"/>
  <c r="W18" i="5" s="1"/>
  <c r="C15" i="5"/>
  <c r="B15" i="5" s="1"/>
  <c r="C16" i="5"/>
  <c r="T16" i="5" s="1"/>
  <c r="C19" i="5"/>
  <c r="N19" i="5" s="1"/>
  <c r="C20" i="5"/>
  <c r="B20" i="5" s="1"/>
  <c r="C22" i="5"/>
  <c r="Q22" i="5" s="1"/>
  <c r="C23" i="5"/>
  <c r="N23" i="5" s="1"/>
  <c r="C14" i="5"/>
  <c r="K14" i="5" s="1"/>
  <c r="H14" i="5"/>
  <c r="C11" i="5"/>
  <c r="B11" i="5" s="1"/>
  <c r="R51" i="5"/>
  <c r="Q51" i="5"/>
  <c r="O51" i="5"/>
  <c r="N51" i="5"/>
  <c r="L51" i="5"/>
  <c r="K51" i="5"/>
  <c r="C36" i="5"/>
  <c r="N36" i="5" s="1"/>
  <c r="H28" i="5"/>
  <c r="C28" i="5"/>
  <c r="Q28" i="5" s="1"/>
  <c r="H34" i="5"/>
  <c r="C34" i="5"/>
  <c r="T34" i="5" s="1"/>
  <c r="C38" i="5"/>
  <c r="N38" i="5" s="1"/>
  <c r="C46" i="5"/>
  <c r="Q46" i="5" s="1"/>
  <c r="C45" i="5"/>
  <c r="T45" i="5" s="1"/>
  <c r="C44" i="5"/>
  <c r="W44" i="5" s="1"/>
  <c r="H43" i="5"/>
  <c r="C43" i="5"/>
  <c r="K43" i="5" s="1"/>
  <c r="C42" i="5"/>
  <c r="N42" i="5" s="1"/>
  <c r="C35" i="5"/>
  <c r="N35" i="5" s="1"/>
  <c r="C13" i="5"/>
  <c r="T13" i="5" s="1"/>
  <c r="C12" i="5"/>
  <c r="W12" i="5" s="1"/>
  <c r="C7" i="5"/>
  <c r="N7" i="5" s="1"/>
  <c r="C8" i="5"/>
  <c r="K8" i="5" s="1"/>
  <c r="H6" i="5"/>
  <c r="C6" i="5"/>
  <c r="N6" i="5" s="1"/>
  <c r="C5" i="5"/>
  <c r="Q5" i="5" s="1"/>
  <c r="H4" i="5"/>
  <c r="C4" i="5"/>
  <c r="T4" i="5" s="1"/>
  <c r="C8" i="4"/>
  <c r="B8" i="4" s="1"/>
  <c r="R8" i="4" s="1"/>
  <c r="G8" i="4"/>
  <c r="H8" i="4"/>
  <c r="O8" i="4"/>
  <c r="G16" i="4"/>
  <c r="H16" i="4"/>
  <c r="G17" i="4"/>
  <c r="H17" i="4"/>
  <c r="C16" i="4"/>
  <c r="C17" i="4"/>
  <c r="G23" i="4"/>
  <c r="H23" i="4" s="1"/>
  <c r="G24" i="4"/>
  <c r="H24" i="4"/>
  <c r="G25" i="4"/>
  <c r="H25" i="4"/>
  <c r="G26" i="4"/>
  <c r="H26" i="4"/>
  <c r="G27" i="4"/>
  <c r="H27" i="4"/>
  <c r="G28" i="4"/>
  <c r="H28" i="4"/>
  <c r="G29" i="4"/>
  <c r="H29" i="4" s="1"/>
  <c r="C27" i="4"/>
  <c r="C28" i="4"/>
  <c r="C29" i="4"/>
  <c r="X32" i="4"/>
  <c r="W32" i="4"/>
  <c r="U32" i="4"/>
  <c r="T32" i="4"/>
  <c r="R32" i="4"/>
  <c r="Q32" i="4"/>
  <c r="O32" i="4"/>
  <c r="N32" i="4"/>
  <c r="L32" i="4"/>
  <c r="K32" i="4"/>
  <c r="C26" i="4"/>
  <c r="B26" i="4" s="1"/>
  <c r="C25" i="4"/>
  <c r="B25" i="4" s="1"/>
  <c r="C24" i="4"/>
  <c r="B24" i="4" s="1"/>
  <c r="C23" i="4"/>
  <c r="B23" i="4" s="1"/>
  <c r="G22" i="4"/>
  <c r="H22" i="4" s="1"/>
  <c r="C22" i="4"/>
  <c r="B22" i="4" s="1"/>
  <c r="G21" i="4"/>
  <c r="H21" i="4" s="1"/>
  <c r="C21" i="4"/>
  <c r="B21" i="4" s="1"/>
  <c r="G20" i="4"/>
  <c r="H20" i="4" s="1"/>
  <c r="C20" i="4"/>
  <c r="B20" i="4"/>
  <c r="G19" i="4"/>
  <c r="H19" i="4" s="1"/>
  <c r="C19" i="4"/>
  <c r="B19" i="4" s="1"/>
  <c r="G18" i="4"/>
  <c r="H18" i="4" s="1"/>
  <c r="C18" i="4"/>
  <c r="B18" i="4" s="1"/>
  <c r="G15" i="4"/>
  <c r="H15" i="4" s="1"/>
  <c r="C15" i="4"/>
  <c r="B15" i="4" s="1"/>
  <c r="G14" i="4"/>
  <c r="H14" i="4" s="1"/>
  <c r="C14" i="4"/>
  <c r="B14" i="4"/>
  <c r="G13" i="4"/>
  <c r="H13" i="4" s="1"/>
  <c r="C13" i="4"/>
  <c r="B13" i="4" s="1"/>
  <c r="G12" i="4"/>
  <c r="H12" i="4" s="1"/>
  <c r="C12" i="4"/>
  <c r="B12" i="4" s="1"/>
  <c r="G11" i="4"/>
  <c r="H11" i="4" s="1"/>
  <c r="C11" i="4"/>
  <c r="B11" i="4" s="1"/>
  <c r="G10" i="4"/>
  <c r="H10" i="4" s="1"/>
  <c r="C10" i="4"/>
  <c r="B10" i="4"/>
  <c r="G9" i="4"/>
  <c r="H9" i="4" s="1"/>
  <c r="C9" i="4"/>
  <c r="B9" i="4" s="1"/>
  <c r="G7" i="4"/>
  <c r="H7" i="4" s="1"/>
  <c r="C7" i="4"/>
  <c r="B7" i="4" s="1"/>
  <c r="G6" i="4"/>
  <c r="H6" i="4" s="1"/>
  <c r="C6" i="4"/>
  <c r="B6" i="4" s="1"/>
  <c r="G5" i="4"/>
  <c r="H5" i="4" s="1"/>
  <c r="C5" i="4"/>
  <c r="B5" i="4"/>
  <c r="G4" i="4"/>
  <c r="H4" i="4" s="1"/>
  <c r="C4" i="4"/>
  <c r="B4" i="4" s="1"/>
  <c r="G3" i="4"/>
  <c r="H3" i="4" s="1"/>
  <c r="C3" i="4"/>
  <c r="B3" i="4" s="1"/>
  <c r="C4" i="2"/>
  <c r="B4" i="2" s="1"/>
  <c r="O4" i="2" s="1"/>
  <c r="G4" i="2"/>
  <c r="H4" i="2" s="1"/>
  <c r="K4" i="2"/>
  <c r="L4" i="2"/>
  <c r="N4" i="2"/>
  <c r="Q4" i="2"/>
  <c r="R4" i="2"/>
  <c r="T4" i="2"/>
  <c r="U4" i="2"/>
  <c r="W4" i="2"/>
  <c r="X4" i="2"/>
  <c r="X38" i="2"/>
  <c r="W38" i="2"/>
  <c r="U38" i="2"/>
  <c r="T38" i="2"/>
  <c r="R38" i="2"/>
  <c r="Q38" i="2"/>
  <c r="O38" i="2"/>
  <c r="N38" i="2"/>
  <c r="L38" i="2"/>
  <c r="K38" i="2"/>
  <c r="G32" i="2"/>
  <c r="H32" i="2" s="1"/>
  <c r="C32" i="2"/>
  <c r="B32" i="2"/>
  <c r="G31" i="2"/>
  <c r="H31" i="2" s="1"/>
  <c r="C31" i="2"/>
  <c r="B31" i="2" s="1"/>
  <c r="H30" i="2"/>
  <c r="C30" i="2"/>
  <c r="B30" i="2"/>
  <c r="G29" i="2"/>
  <c r="H29" i="2" s="1"/>
  <c r="C29" i="2"/>
  <c r="B29" i="2" s="1"/>
  <c r="G28" i="2"/>
  <c r="H28" i="2" s="1"/>
  <c r="C28" i="2"/>
  <c r="B28" i="2"/>
  <c r="G27" i="2"/>
  <c r="H27" i="2" s="1"/>
  <c r="C27" i="2"/>
  <c r="B27" i="2" s="1"/>
  <c r="G26" i="2"/>
  <c r="H26" i="2" s="1"/>
  <c r="C26" i="2"/>
  <c r="B26" i="2"/>
  <c r="G25" i="2"/>
  <c r="H25" i="2" s="1"/>
  <c r="C25" i="2"/>
  <c r="B25" i="2" s="1"/>
  <c r="G24" i="2"/>
  <c r="H24" i="2" s="1"/>
  <c r="C24" i="2"/>
  <c r="B24" i="2"/>
  <c r="G23" i="2"/>
  <c r="H23" i="2" s="1"/>
  <c r="C23" i="2"/>
  <c r="B23" i="2" s="1"/>
  <c r="G22" i="2"/>
  <c r="H22" i="2" s="1"/>
  <c r="C22" i="2"/>
  <c r="B22" i="2"/>
  <c r="G21" i="2"/>
  <c r="H21" i="2" s="1"/>
  <c r="C21" i="2"/>
  <c r="B21" i="2" s="1"/>
  <c r="G20" i="2"/>
  <c r="H20" i="2" s="1"/>
  <c r="C20" i="2"/>
  <c r="B20" i="2"/>
  <c r="G19" i="2"/>
  <c r="H19" i="2" s="1"/>
  <c r="C19" i="2"/>
  <c r="B19" i="2" s="1"/>
  <c r="G18" i="2"/>
  <c r="H18" i="2" s="1"/>
  <c r="C18" i="2"/>
  <c r="B18" i="2"/>
  <c r="G17" i="2"/>
  <c r="H17" i="2" s="1"/>
  <c r="C17" i="2"/>
  <c r="B17" i="2" s="1"/>
  <c r="G16" i="2"/>
  <c r="H16" i="2" s="1"/>
  <c r="C16" i="2"/>
  <c r="B16" i="2"/>
  <c r="G15" i="2"/>
  <c r="H15" i="2" s="1"/>
  <c r="C15" i="2"/>
  <c r="B15" i="2" s="1"/>
  <c r="G14" i="2"/>
  <c r="H14" i="2" s="1"/>
  <c r="C14" i="2"/>
  <c r="B14" i="2"/>
  <c r="G13" i="2"/>
  <c r="H13" i="2" s="1"/>
  <c r="C13" i="2"/>
  <c r="B13" i="2" s="1"/>
  <c r="G12" i="2"/>
  <c r="H12" i="2" s="1"/>
  <c r="C12" i="2"/>
  <c r="B12" i="2"/>
  <c r="G11" i="2"/>
  <c r="H11" i="2" s="1"/>
  <c r="C11" i="2"/>
  <c r="B11" i="2" s="1"/>
  <c r="G10" i="2"/>
  <c r="H10" i="2" s="1"/>
  <c r="C10" i="2"/>
  <c r="B10" i="2"/>
  <c r="G9" i="2"/>
  <c r="H9" i="2" s="1"/>
  <c r="C9" i="2"/>
  <c r="B9" i="2" s="1"/>
  <c r="G8" i="2"/>
  <c r="H8" i="2" s="1"/>
  <c r="C8" i="2"/>
  <c r="B8" i="2"/>
  <c r="G7" i="2"/>
  <c r="H7" i="2" s="1"/>
  <c r="C7" i="2"/>
  <c r="B7" i="2" s="1"/>
  <c r="G6" i="2"/>
  <c r="H6" i="2" s="1"/>
  <c r="C6" i="2"/>
  <c r="B6" i="2"/>
  <c r="G5" i="2"/>
  <c r="H5" i="2" s="1"/>
  <c r="C5" i="2"/>
  <c r="B5" i="2" s="1"/>
  <c r="G3" i="2"/>
  <c r="H3" i="2" s="1"/>
  <c r="C3" i="2"/>
  <c r="B3" i="2"/>
  <c r="U34" i="3"/>
  <c r="T34" i="3"/>
  <c r="C18" i="3"/>
  <c r="C19" i="3"/>
  <c r="B19" i="3" s="1"/>
  <c r="C20" i="3"/>
  <c r="C21" i="3"/>
  <c r="T21" i="3" s="1"/>
  <c r="C22" i="3"/>
  <c r="B22" i="3" s="1"/>
  <c r="C23" i="3"/>
  <c r="B23" i="3" s="1"/>
  <c r="C24" i="3"/>
  <c r="B24" i="3" s="1"/>
  <c r="T18" i="3"/>
  <c r="C25" i="3"/>
  <c r="C26" i="3"/>
  <c r="N26" i="3" s="1"/>
  <c r="C27" i="3"/>
  <c r="C28" i="3"/>
  <c r="B28" i="3" s="1"/>
  <c r="C29" i="3"/>
  <c r="C30" i="3"/>
  <c r="N30" i="3" s="1"/>
  <c r="C31" i="3"/>
  <c r="Q31" i="3" s="1"/>
  <c r="B25" i="3"/>
  <c r="B26" i="3"/>
  <c r="B27" i="3"/>
  <c r="B29" i="3"/>
  <c r="B31" i="3"/>
  <c r="C3" i="3"/>
  <c r="C4" i="3"/>
  <c r="B4" i="3" s="1"/>
  <c r="C5" i="3"/>
  <c r="C6" i="3"/>
  <c r="G30" i="3"/>
  <c r="G31" i="3"/>
  <c r="H31" i="3" s="1"/>
  <c r="R34" i="3"/>
  <c r="Q34" i="3"/>
  <c r="O34" i="3"/>
  <c r="N34" i="3"/>
  <c r="L34" i="3"/>
  <c r="K34" i="3"/>
  <c r="N31" i="3"/>
  <c r="Q30" i="3"/>
  <c r="K30" i="3"/>
  <c r="H30" i="3"/>
  <c r="Q29" i="3"/>
  <c r="N29" i="3"/>
  <c r="K29" i="3"/>
  <c r="H29" i="3"/>
  <c r="K28" i="3"/>
  <c r="G28" i="3"/>
  <c r="H28" i="3" s="1"/>
  <c r="Q27" i="3"/>
  <c r="N27" i="3"/>
  <c r="K27" i="3"/>
  <c r="G27" i="3"/>
  <c r="H27" i="3" s="1"/>
  <c r="Q26" i="3"/>
  <c r="G26" i="3"/>
  <c r="H26" i="3" s="1"/>
  <c r="Q25" i="3"/>
  <c r="N25" i="3"/>
  <c r="K25" i="3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B20" i="3"/>
  <c r="G19" i="3"/>
  <c r="H19" i="3" s="1"/>
  <c r="G18" i="3"/>
  <c r="H18" i="3" s="1"/>
  <c r="B18" i="3"/>
  <c r="G17" i="3"/>
  <c r="H17" i="3" s="1"/>
  <c r="C17" i="3"/>
  <c r="B17" i="3"/>
  <c r="G16" i="3"/>
  <c r="H16" i="3" s="1"/>
  <c r="C16" i="3"/>
  <c r="B16" i="3" s="1"/>
  <c r="G15" i="3"/>
  <c r="H15" i="3" s="1"/>
  <c r="C15" i="3"/>
  <c r="B15" i="3"/>
  <c r="G14" i="3"/>
  <c r="H14" i="3" s="1"/>
  <c r="C14" i="3"/>
  <c r="B14" i="3" s="1"/>
  <c r="G13" i="3"/>
  <c r="H13" i="3" s="1"/>
  <c r="C13" i="3"/>
  <c r="B13" i="3"/>
  <c r="G12" i="3"/>
  <c r="H12" i="3" s="1"/>
  <c r="C12" i="3"/>
  <c r="B12" i="3" s="1"/>
  <c r="G11" i="3"/>
  <c r="H11" i="3" s="1"/>
  <c r="C11" i="3"/>
  <c r="B11" i="3"/>
  <c r="G10" i="3"/>
  <c r="H10" i="3" s="1"/>
  <c r="C10" i="3"/>
  <c r="B10" i="3" s="1"/>
  <c r="G9" i="3"/>
  <c r="H9" i="3" s="1"/>
  <c r="C9" i="3"/>
  <c r="B9" i="3"/>
  <c r="G8" i="3"/>
  <c r="H8" i="3" s="1"/>
  <c r="C8" i="3"/>
  <c r="B8" i="3" s="1"/>
  <c r="G7" i="3"/>
  <c r="H7" i="3" s="1"/>
  <c r="C7" i="3"/>
  <c r="B7" i="3"/>
  <c r="G6" i="3"/>
  <c r="H6" i="3" s="1"/>
  <c r="B6" i="3"/>
  <c r="G5" i="3"/>
  <c r="H5" i="3" s="1"/>
  <c r="B5" i="3"/>
  <c r="G4" i="3"/>
  <c r="H4" i="3" s="1"/>
  <c r="G3" i="3"/>
  <c r="H3" i="3" s="1"/>
  <c r="B3" i="3"/>
  <c r="G8" i="1"/>
  <c r="G9" i="1"/>
  <c r="G10" i="1"/>
  <c r="H10" i="1" s="1"/>
  <c r="G11" i="1"/>
  <c r="G12" i="1"/>
  <c r="H12" i="1" s="1"/>
  <c r="G13" i="1"/>
  <c r="G14" i="1"/>
  <c r="H14" i="1" s="1"/>
  <c r="G15" i="1"/>
  <c r="G16" i="1"/>
  <c r="H16" i="1" s="1"/>
  <c r="G18" i="1"/>
  <c r="G19" i="1"/>
  <c r="H19" i="1" s="1"/>
  <c r="G20" i="1"/>
  <c r="G21" i="1"/>
  <c r="G22" i="1"/>
  <c r="G23" i="1"/>
  <c r="H23" i="1" s="1"/>
  <c r="G24" i="1"/>
  <c r="G25" i="1"/>
  <c r="H25" i="1" s="1"/>
  <c r="G26" i="1"/>
  <c r="G27" i="1"/>
  <c r="H27" i="1" s="1"/>
  <c r="G28" i="1"/>
  <c r="G29" i="1"/>
  <c r="H29" i="1" s="1"/>
  <c r="G30" i="1"/>
  <c r="G31" i="1"/>
  <c r="H31" i="1" s="1"/>
  <c r="G5" i="1"/>
  <c r="G6" i="1"/>
  <c r="H6" i="1" s="1"/>
  <c r="G7" i="1"/>
  <c r="G4" i="1"/>
  <c r="H4" i="1" s="1"/>
  <c r="G3" i="1"/>
  <c r="U34" i="1"/>
  <c r="X5" i="1"/>
  <c r="X6" i="1"/>
  <c r="X7" i="1"/>
  <c r="X11" i="1"/>
  <c r="X13" i="1"/>
  <c r="X15" i="1"/>
  <c r="X17" i="1"/>
  <c r="X19" i="1"/>
  <c r="X21" i="1"/>
  <c r="X25" i="1"/>
  <c r="X27" i="1"/>
  <c r="X29" i="1"/>
  <c r="X31" i="1"/>
  <c r="W8" i="1"/>
  <c r="W11" i="1"/>
  <c r="W12" i="1"/>
  <c r="W13" i="1"/>
  <c r="W14" i="1"/>
  <c r="W20" i="1"/>
  <c r="W24" i="1"/>
  <c r="W25" i="1"/>
  <c r="W26" i="1"/>
  <c r="W27" i="1"/>
  <c r="W28" i="1"/>
  <c r="W29" i="1"/>
  <c r="W30" i="1"/>
  <c r="W31" i="1"/>
  <c r="W3" i="1"/>
  <c r="X34" i="1"/>
  <c r="W34" i="1"/>
  <c r="T34" i="1"/>
  <c r="O34" i="1"/>
  <c r="N34" i="1"/>
  <c r="L34" i="1"/>
  <c r="R34" i="1"/>
  <c r="Q34" i="1"/>
  <c r="K34" i="1"/>
  <c r="H3" i="1"/>
  <c r="H5" i="1"/>
  <c r="H7" i="1"/>
  <c r="H8" i="1"/>
  <c r="H9" i="1"/>
  <c r="H11" i="1"/>
  <c r="H13" i="1"/>
  <c r="H15" i="1"/>
  <c r="H18" i="1"/>
  <c r="H20" i="1"/>
  <c r="H21" i="1"/>
  <c r="H22" i="1"/>
  <c r="H24" i="1"/>
  <c r="H26" i="1"/>
  <c r="H28" i="1"/>
  <c r="H30" i="1"/>
  <c r="Q25" i="1"/>
  <c r="Q26" i="1"/>
  <c r="N25" i="1"/>
  <c r="N26" i="1"/>
  <c r="K25" i="1"/>
  <c r="C15" i="1"/>
  <c r="B15" i="1" s="1"/>
  <c r="L15" i="1" s="1"/>
  <c r="C16" i="1"/>
  <c r="B16" i="1" s="1"/>
  <c r="U16" i="1" s="1"/>
  <c r="C3" i="1"/>
  <c r="B3" i="1" s="1"/>
  <c r="U3" i="1" s="1"/>
  <c r="C4" i="1"/>
  <c r="B4" i="1" s="1"/>
  <c r="U4" i="1" s="1"/>
  <c r="C5" i="1"/>
  <c r="B5" i="1" s="1"/>
  <c r="U5" i="1" s="1"/>
  <c r="C6" i="1"/>
  <c r="B6" i="1" s="1"/>
  <c r="R6" i="1" s="1"/>
  <c r="C7" i="1"/>
  <c r="B7" i="1" s="1"/>
  <c r="R7" i="1" s="1"/>
  <c r="C8" i="1"/>
  <c r="B8" i="1" s="1"/>
  <c r="L8" i="1" s="1"/>
  <c r="C9" i="1"/>
  <c r="B9" i="1" s="1"/>
  <c r="L9" i="1" s="1"/>
  <c r="C10" i="1"/>
  <c r="B10" i="1" s="1"/>
  <c r="L10" i="1" s="1"/>
  <c r="C11" i="1"/>
  <c r="B11" i="1" s="1"/>
  <c r="L11" i="1" s="1"/>
  <c r="C12" i="1"/>
  <c r="B12" i="1" s="1"/>
  <c r="L12" i="1" s="1"/>
  <c r="C13" i="1"/>
  <c r="B13" i="1" s="1"/>
  <c r="R13" i="1" s="1"/>
  <c r="C14" i="1"/>
  <c r="B14" i="1" s="1"/>
  <c r="O14" i="1" s="1"/>
  <c r="C17" i="1"/>
  <c r="B17" i="1" s="1"/>
  <c r="U17" i="1" s="1"/>
  <c r="C18" i="1"/>
  <c r="B18" i="1" s="1"/>
  <c r="R18" i="1" s="1"/>
  <c r="C19" i="1"/>
  <c r="B19" i="1" s="1"/>
  <c r="R19" i="1" s="1"/>
  <c r="C20" i="1"/>
  <c r="B20" i="1" s="1"/>
  <c r="O20" i="1" s="1"/>
  <c r="C21" i="1"/>
  <c r="B21" i="1" s="1"/>
  <c r="R21" i="1" s="1"/>
  <c r="C22" i="1"/>
  <c r="B22" i="1" s="1"/>
  <c r="L22" i="1" s="1"/>
  <c r="C23" i="1"/>
  <c r="B23" i="1" s="1"/>
  <c r="U23" i="1" s="1"/>
  <c r="C24" i="1"/>
  <c r="B24" i="1" s="1"/>
  <c r="R24" i="1" s="1"/>
  <c r="B25" i="1"/>
  <c r="R25" i="1" s="1"/>
  <c r="B26" i="1"/>
  <c r="O26" i="1" s="1"/>
  <c r="B27" i="1"/>
  <c r="U27" i="1" s="1"/>
  <c r="B28" i="1"/>
  <c r="U28" i="1" s="1"/>
  <c r="B29" i="1"/>
  <c r="U29" i="1" s="1"/>
  <c r="B30" i="1"/>
  <c r="R30" i="1" s="1"/>
  <c r="B31" i="1"/>
  <c r="U31" i="1" s="1"/>
  <c r="E84" i="21" l="1"/>
  <c r="D84" i="21" s="1"/>
  <c r="F84" i="21"/>
  <c r="E106" i="21"/>
  <c r="E53" i="21"/>
  <c r="D53" i="21" s="1"/>
  <c r="E113" i="21"/>
  <c r="D113" i="21" s="1"/>
  <c r="J4" i="28"/>
  <c r="I43" i="29"/>
  <c r="I34" i="29"/>
  <c r="I24" i="29"/>
  <c r="I13" i="29"/>
  <c r="J4" i="25"/>
  <c r="J5" i="28"/>
  <c r="I44" i="29"/>
  <c r="I35" i="29"/>
  <c r="I25" i="29"/>
  <c r="I14" i="29"/>
  <c r="I5" i="24"/>
  <c r="J5" i="25"/>
  <c r="I6" i="24"/>
  <c r="I45" i="29"/>
  <c r="I36" i="29"/>
  <c r="I26" i="29"/>
  <c r="I15" i="29"/>
  <c r="J6" i="28"/>
  <c r="J6" i="25"/>
  <c r="J7" i="28"/>
  <c r="I46" i="29"/>
  <c r="I27" i="29"/>
  <c r="I16" i="29"/>
  <c r="I37" i="29"/>
  <c r="I7" i="24"/>
  <c r="J7" i="25"/>
  <c r="J8" i="28"/>
  <c r="I8" i="24"/>
  <c r="J8" i="25"/>
  <c r="I47" i="29"/>
  <c r="I38" i="29"/>
  <c r="I28" i="29"/>
  <c r="I17" i="29"/>
  <c r="J9" i="28"/>
  <c r="I48" i="29"/>
  <c r="I39" i="29"/>
  <c r="I29" i="29"/>
  <c r="I18" i="29"/>
  <c r="I9" i="24"/>
  <c r="J9" i="25"/>
  <c r="G148" i="19"/>
  <c r="E19" i="14"/>
  <c r="E41" i="14"/>
  <c r="E65" i="14"/>
  <c r="G212" i="19"/>
  <c r="W22" i="1"/>
  <c r="W10" i="1"/>
  <c r="L8" i="4"/>
  <c r="W21" i="1"/>
  <c r="W9" i="1"/>
  <c r="X26" i="1"/>
  <c r="X14" i="1"/>
  <c r="K31" i="3"/>
  <c r="K8" i="4"/>
  <c r="G103" i="19"/>
  <c r="G113" i="19" s="1"/>
  <c r="H150" i="13"/>
  <c r="W19" i="1"/>
  <c r="W7" i="1"/>
  <c r="X24" i="1"/>
  <c r="X12" i="1"/>
  <c r="N28" i="3"/>
  <c r="W33" i="6"/>
  <c r="G101" i="13"/>
  <c r="H179" i="19"/>
  <c r="W6" i="1"/>
  <c r="Q28" i="3"/>
  <c r="X8" i="4"/>
  <c r="U33" i="6"/>
  <c r="G159" i="19"/>
  <c r="G180" i="19"/>
  <c r="W17" i="1"/>
  <c r="W5" i="1"/>
  <c r="X22" i="1"/>
  <c r="X10" i="1"/>
  <c r="K17" i="1"/>
  <c r="B21" i="3"/>
  <c r="B30" i="3"/>
  <c r="W8" i="4"/>
  <c r="T33" i="6"/>
  <c r="H159" i="19"/>
  <c r="H180" i="19"/>
  <c r="W18" i="1"/>
  <c r="X23" i="1"/>
  <c r="W16" i="1"/>
  <c r="K26" i="3"/>
  <c r="T23" i="3"/>
  <c r="U8" i="4"/>
  <c r="K25" i="5"/>
  <c r="R33" i="6"/>
  <c r="E31" i="14"/>
  <c r="E54" i="14"/>
  <c r="H148" i="19"/>
  <c r="G193" i="19"/>
  <c r="W4" i="1"/>
  <c r="W33" i="1" s="1"/>
  <c r="W35" i="1" s="1"/>
  <c r="X9" i="1"/>
  <c r="W15" i="1"/>
  <c r="X3" i="1"/>
  <c r="X20" i="1"/>
  <c r="X8" i="1"/>
  <c r="T8" i="4"/>
  <c r="Q33" i="6"/>
  <c r="H193" i="19"/>
  <c r="O33" i="6"/>
  <c r="G190" i="13"/>
  <c r="G112" i="19"/>
  <c r="X30" i="1"/>
  <c r="X18" i="1"/>
  <c r="Q8" i="4"/>
  <c r="N33" i="6"/>
  <c r="G216" i="13"/>
  <c r="H112" i="19"/>
  <c r="L33" i="6"/>
  <c r="G149" i="19"/>
  <c r="G211" i="19"/>
  <c r="W23" i="1"/>
  <c r="X28" i="1"/>
  <c r="X16" i="1"/>
  <c r="X4" i="1"/>
  <c r="N8" i="4"/>
  <c r="K33" i="6"/>
  <c r="H149" i="19"/>
  <c r="H160" i="19"/>
  <c r="H211" i="19"/>
  <c r="Q39" i="20"/>
  <c r="G41" i="20"/>
  <c r="G149" i="13"/>
  <c r="G150" i="13"/>
  <c r="G197" i="13"/>
  <c r="G215" i="13"/>
  <c r="G193" i="13"/>
  <c r="G198" i="13" s="1"/>
  <c r="H215" i="13"/>
  <c r="H149" i="13"/>
  <c r="H216" i="13"/>
  <c r="P120" i="20"/>
  <c r="P121" i="20"/>
  <c r="Q38" i="20"/>
  <c r="Q37" i="20"/>
  <c r="Q120" i="20"/>
  <c r="G37" i="20"/>
  <c r="P39" i="20" s="1"/>
  <c r="G34" i="20"/>
  <c r="P37" i="20" s="1"/>
  <c r="L4" i="15"/>
  <c r="G113" i="13"/>
  <c r="H163" i="13"/>
  <c r="G163" i="13"/>
  <c r="G184" i="13"/>
  <c r="H184" i="13"/>
  <c r="G183" i="13"/>
  <c r="H183" i="13"/>
  <c r="G114" i="13"/>
  <c r="H114" i="13"/>
  <c r="B23" i="7"/>
  <c r="Q23" i="7" s="1"/>
  <c r="M35" i="7"/>
  <c r="P35" i="7"/>
  <c r="S31" i="7"/>
  <c r="J40" i="7"/>
  <c r="J51" i="7"/>
  <c r="J22" i="7"/>
  <c r="B45" i="7"/>
  <c r="N45" i="7" s="1"/>
  <c r="J18" i="7"/>
  <c r="M18" i="7"/>
  <c r="S26" i="7"/>
  <c r="S35" i="7"/>
  <c r="S18" i="7"/>
  <c r="M4" i="7"/>
  <c r="M7" i="7"/>
  <c r="J13" i="7"/>
  <c r="P26" i="7"/>
  <c r="P4" i="7"/>
  <c r="M23" i="7"/>
  <c r="S4" i="7"/>
  <c r="J8" i="7"/>
  <c r="J33" i="7"/>
  <c r="M13" i="7"/>
  <c r="B15" i="7"/>
  <c r="T15" i="7" s="1"/>
  <c r="M33" i="7"/>
  <c r="J24" i="7"/>
  <c r="J38" i="7"/>
  <c r="S6" i="7"/>
  <c r="M12" i="7"/>
  <c r="M25" i="7"/>
  <c r="B40" i="7"/>
  <c r="N40" i="7" s="1"/>
  <c r="B7" i="7"/>
  <c r="T7" i="7" s="1"/>
  <c r="B13" i="7"/>
  <c r="Q13" i="7" s="1"/>
  <c r="S25" i="7"/>
  <c r="J35" i="7"/>
  <c r="B19" i="7"/>
  <c r="K19" i="7" s="1"/>
  <c r="B48" i="7"/>
  <c r="T48" i="7" s="1"/>
  <c r="M8" i="7"/>
  <c r="P15" i="7"/>
  <c r="M22" i="7"/>
  <c r="P39" i="7"/>
  <c r="P19" i="7"/>
  <c r="S48" i="7"/>
  <c r="P8" i="7"/>
  <c r="S8" i="7"/>
  <c r="S15" i="7"/>
  <c r="S19" i="7"/>
  <c r="J25" i="7"/>
  <c r="B37" i="7"/>
  <c r="Q37" i="7" s="1"/>
  <c r="B11" i="7"/>
  <c r="N11" i="7" s="1"/>
  <c r="B20" i="7"/>
  <c r="Q20" i="7" s="1"/>
  <c r="J49" i="7"/>
  <c r="P13" i="7"/>
  <c r="N23" i="7"/>
  <c r="B26" i="7"/>
  <c r="Q26" i="7" s="1"/>
  <c r="J30" i="7"/>
  <c r="S33" i="7"/>
  <c r="P37" i="7"/>
  <c r="S45" i="7"/>
  <c r="B4" i="7"/>
  <c r="S11" i="7"/>
  <c r="J20" i="7"/>
  <c r="P23" i="7"/>
  <c r="S37" i="7"/>
  <c r="B12" i="7"/>
  <c r="K12" i="7" s="1"/>
  <c r="S23" i="7"/>
  <c r="B24" i="7"/>
  <c r="N24" i="7" s="1"/>
  <c r="M26" i="7"/>
  <c r="J31" i="7"/>
  <c r="T35" i="7"/>
  <c r="Q35" i="7"/>
  <c r="K35" i="7"/>
  <c r="Q8" i="7"/>
  <c r="N8" i="7"/>
  <c r="N18" i="7"/>
  <c r="K18" i="7"/>
  <c r="P11" i="7"/>
  <c r="B22" i="7"/>
  <c r="N22" i="7" s="1"/>
  <c r="B25" i="7"/>
  <c r="K25" i="7" s="1"/>
  <c r="S29" i="7"/>
  <c r="B30" i="7"/>
  <c r="S42" i="7"/>
  <c r="B5" i="7"/>
  <c r="N5" i="7" s="1"/>
  <c r="B16" i="7"/>
  <c r="K16" i="7" s="1"/>
  <c r="B32" i="7"/>
  <c r="T32" i="7" s="1"/>
  <c r="J7" i="7"/>
  <c r="J12" i="7"/>
  <c r="P18" i="7"/>
  <c r="P22" i="7"/>
  <c r="B29" i="7"/>
  <c r="K29" i="7" s="1"/>
  <c r="M30" i="7"/>
  <c r="P33" i="7"/>
  <c r="B42" i="7"/>
  <c r="M44" i="7"/>
  <c r="P49" i="7"/>
  <c r="J16" i="7"/>
  <c r="J32" i="7"/>
  <c r="M5" i="7"/>
  <c r="P7" i="7"/>
  <c r="P12" i="7"/>
  <c r="M16" i="7"/>
  <c r="M20" i="7"/>
  <c r="P30" i="7"/>
  <c r="M32" i="7"/>
  <c r="P5" i="7"/>
  <c r="P20" i="7"/>
  <c r="J29" i="7"/>
  <c r="P32" i="7"/>
  <c r="J42" i="7"/>
  <c r="M50" i="7"/>
  <c r="S5" i="7"/>
  <c r="J11" i="7"/>
  <c r="P16" i="7"/>
  <c r="M24" i="7"/>
  <c r="M29" i="7"/>
  <c r="B31" i="7"/>
  <c r="Q31" i="7" s="1"/>
  <c r="J37" i="7"/>
  <c r="J15" i="7"/>
  <c r="J19" i="7"/>
  <c r="P24" i="7"/>
  <c r="M42" i="7"/>
  <c r="J45" i="7"/>
  <c r="J48" i="7"/>
  <c r="M48" i="7"/>
  <c r="T8" i="7"/>
  <c r="Q18" i="7"/>
  <c r="K33" i="7"/>
  <c r="B44" i="7"/>
  <c r="S44" i="7"/>
  <c r="P45" i="7"/>
  <c r="M46" i="7"/>
  <c r="J47" i="7"/>
  <c r="B50" i="7"/>
  <c r="S50" i="7"/>
  <c r="P51" i="7"/>
  <c r="M52" i="7"/>
  <c r="J6" i="7"/>
  <c r="J14" i="7"/>
  <c r="J21" i="7"/>
  <c r="J28" i="7"/>
  <c r="J34" i="7"/>
  <c r="B38" i="7"/>
  <c r="S38" i="7"/>
  <c r="J41" i="7"/>
  <c r="K6" i="7"/>
  <c r="T18" i="7"/>
  <c r="N33" i="7"/>
  <c r="P46" i="7"/>
  <c r="M47" i="7"/>
  <c r="B51" i="7"/>
  <c r="S51" i="7"/>
  <c r="P52" i="7"/>
  <c r="M6" i="7"/>
  <c r="M14" i="7"/>
  <c r="M21" i="7"/>
  <c r="M28" i="7"/>
  <c r="M34" i="7"/>
  <c r="B39" i="7"/>
  <c r="S39" i="7"/>
  <c r="P40" i="7"/>
  <c r="M41" i="7"/>
  <c r="N6" i="7"/>
  <c r="K7" i="7"/>
  <c r="Q33" i="7"/>
  <c r="B46" i="7"/>
  <c r="S46" i="7"/>
  <c r="P47" i="7"/>
  <c r="B52" i="7"/>
  <c r="S52" i="7"/>
  <c r="P6" i="7"/>
  <c r="P14" i="7"/>
  <c r="P21" i="7"/>
  <c r="P28" i="7"/>
  <c r="P34" i="7"/>
  <c r="S40" i="7"/>
  <c r="P41" i="7"/>
  <c r="Q6" i="7"/>
  <c r="K8" i="7"/>
  <c r="K23" i="7"/>
  <c r="T26" i="7"/>
  <c r="T33" i="7"/>
  <c r="N35" i="7"/>
  <c r="J44" i="7"/>
  <c r="B47" i="7"/>
  <c r="S47" i="7"/>
  <c r="M49" i="7"/>
  <c r="J50" i="7"/>
  <c r="B14" i="7"/>
  <c r="S14" i="7"/>
  <c r="B21" i="7"/>
  <c r="S21" i="7"/>
  <c r="B28" i="7"/>
  <c r="S28" i="7"/>
  <c r="B34" i="7"/>
  <c r="S34" i="7"/>
  <c r="B41" i="7"/>
  <c r="S41" i="7"/>
  <c r="M31" i="7"/>
  <c r="M38" i="7"/>
  <c r="J39" i="7"/>
  <c r="B49" i="7"/>
  <c r="B23" i="6"/>
  <c r="X23" i="6" s="1"/>
  <c r="B8" i="6"/>
  <c r="X8" i="6" s="1"/>
  <c r="Q12" i="6"/>
  <c r="W52" i="6"/>
  <c r="W38" i="6"/>
  <c r="T38" i="6"/>
  <c r="Q38" i="6"/>
  <c r="N38" i="6"/>
  <c r="B28" i="6"/>
  <c r="O28" i="6" s="1"/>
  <c r="B16" i="6"/>
  <c r="X16" i="6" s="1"/>
  <c r="B20" i="6"/>
  <c r="R20" i="6" s="1"/>
  <c r="B35" i="6"/>
  <c r="U35" i="6" s="1"/>
  <c r="X32" i="6"/>
  <c r="W32" i="6"/>
  <c r="T32" i="6"/>
  <c r="R32" i="6"/>
  <c r="Q32" i="6"/>
  <c r="O32" i="6"/>
  <c r="N32" i="6"/>
  <c r="L32" i="6"/>
  <c r="K32" i="6"/>
  <c r="B15" i="6"/>
  <c r="O15" i="6" s="1"/>
  <c r="X51" i="6"/>
  <c r="W51" i="6"/>
  <c r="W31" i="6"/>
  <c r="U51" i="6"/>
  <c r="W15" i="6"/>
  <c r="T51" i="6"/>
  <c r="R51" i="6"/>
  <c r="T15" i="6"/>
  <c r="Q51" i="6"/>
  <c r="O51" i="6"/>
  <c r="Q15" i="6"/>
  <c r="N51" i="6"/>
  <c r="K15" i="6"/>
  <c r="K51" i="6"/>
  <c r="B5" i="6"/>
  <c r="R5" i="6" s="1"/>
  <c r="W22" i="6"/>
  <c r="B30" i="6"/>
  <c r="X30" i="6" s="1"/>
  <c r="Q22" i="6"/>
  <c r="T22" i="6"/>
  <c r="B31" i="6"/>
  <c r="X31" i="6" s="1"/>
  <c r="Q4" i="6"/>
  <c r="Q7" i="6"/>
  <c r="Q14" i="6"/>
  <c r="Q19" i="6"/>
  <c r="W24" i="6"/>
  <c r="X34" i="6"/>
  <c r="T4" i="6"/>
  <c r="T7" i="6"/>
  <c r="T12" i="6"/>
  <c r="T14" i="6"/>
  <c r="T19" i="6"/>
  <c r="K28" i="6"/>
  <c r="W34" i="6"/>
  <c r="W4" i="6"/>
  <c r="W7" i="6"/>
  <c r="W12" i="6"/>
  <c r="W14" i="6"/>
  <c r="W19" i="6"/>
  <c r="N28" i="6"/>
  <c r="N35" i="6"/>
  <c r="N39" i="6"/>
  <c r="B45" i="6"/>
  <c r="U34" i="6"/>
  <c r="Q35" i="6"/>
  <c r="T34" i="6"/>
  <c r="T24" i="6"/>
  <c r="W25" i="6"/>
  <c r="K31" i="6"/>
  <c r="W35" i="6"/>
  <c r="Q23" i="6"/>
  <c r="B26" i="6"/>
  <c r="R26" i="6" s="1"/>
  <c r="W28" i="6"/>
  <c r="N31" i="6"/>
  <c r="B37" i="6"/>
  <c r="R37" i="6" s="1"/>
  <c r="Q34" i="6"/>
  <c r="N5" i="6"/>
  <c r="N8" i="6"/>
  <c r="N16" i="6"/>
  <c r="B24" i="6"/>
  <c r="X24" i="6" s="1"/>
  <c r="Q45" i="6"/>
  <c r="O34" i="6"/>
  <c r="Q28" i="6"/>
  <c r="Q5" i="6"/>
  <c r="Q8" i="6"/>
  <c r="Q16" i="6"/>
  <c r="Q31" i="6"/>
  <c r="T41" i="6"/>
  <c r="N34" i="6"/>
  <c r="Q24" i="6"/>
  <c r="K24" i="6"/>
  <c r="Q26" i="6"/>
  <c r="T29" i="6"/>
  <c r="N37" i="6"/>
  <c r="W41" i="6"/>
  <c r="B52" i="6"/>
  <c r="L52" i="6" s="1"/>
  <c r="L34" i="6"/>
  <c r="T25" i="6"/>
  <c r="N23" i="6"/>
  <c r="T26" i="6"/>
  <c r="W29" i="6"/>
  <c r="Q37" i="6"/>
  <c r="W45" i="6"/>
  <c r="K34" i="6"/>
  <c r="N20" i="6"/>
  <c r="Q20" i="6"/>
  <c r="K18" i="6"/>
  <c r="N6" i="6"/>
  <c r="N11" i="6"/>
  <c r="N13" i="6"/>
  <c r="N18" i="6"/>
  <c r="N21" i="6"/>
  <c r="N40" i="6"/>
  <c r="K21" i="6"/>
  <c r="Q6" i="6"/>
  <c r="Q11" i="6"/>
  <c r="Q13" i="6"/>
  <c r="Q18" i="6"/>
  <c r="Q21" i="6"/>
  <c r="Q40" i="6"/>
  <c r="K13" i="6"/>
  <c r="T6" i="6"/>
  <c r="T11" i="6"/>
  <c r="T13" i="6"/>
  <c r="T18" i="6"/>
  <c r="T21" i="6"/>
  <c r="K26" i="6"/>
  <c r="K30" i="6"/>
  <c r="W40" i="6"/>
  <c r="K5" i="6"/>
  <c r="W6" i="6"/>
  <c r="K8" i="6"/>
  <c r="W11" i="6"/>
  <c r="W13" i="6"/>
  <c r="K16" i="6"/>
  <c r="W18" i="6"/>
  <c r="K20" i="6"/>
  <c r="W21" i="6"/>
  <c r="K23" i="6"/>
  <c r="B25" i="6"/>
  <c r="U25" i="6" s="1"/>
  <c r="N26" i="6"/>
  <c r="B29" i="6"/>
  <c r="L29" i="6" s="1"/>
  <c r="N30" i="6"/>
  <c r="K37" i="6"/>
  <c r="B41" i="6"/>
  <c r="U41" i="6" s="1"/>
  <c r="K11" i="6"/>
  <c r="B4" i="6"/>
  <c r="U4" i="6" s="1"/>
  <c r="B7" i="6"/>
  <c r="L7" i="6" s="1"/>
  <c r="B12" i="6"/>
  <c r="B14" i="6"/>
  <c r="L14" i="6" s="1"/>
  <c r="B19" i="6"/>
  <c r="U19" i="6" s="1"/>
  <c r="B22" i="6"/>
  <c r="L22" i="6" s="1"/>
  <c r="Q30" i="6"/>
  <c r="T30" i="6"/>
  <c r="K52" i="6"/>
  <c r="K6" i="6"/>
  <c r="T5" i="6"/>
  <c r="T8" i="6"/>
  <c r="T16" i="6"/>
  <c r="T20" i="6"/>
  <c r="T23" i="6"/>
  <c r="K25" i="6"/>
  <c r="K29" i="6"/>
  <c r="T37" i="6"/>
  <c r="Q39" i="6"/>
  <c r="K41" i="6"/>
  <c r="Q47" i="6"/>
  <c r="K40" i="6"/>
  <c r="K4" i="6"/>
  <c r="K7" i="6"/>
  <c r="K12" i="6"/>
  <c r="K14" i="6"/>
  <c r="K19" i="6"/>
  <c r="K22" i="6"/>
  <c r="N25" i="6"/>
  <c r="N29" i="6"/>
  <c r="T39" i="6"/>
  <c r="N41" i="6"/>
  <c r="T47" i="6"/>
  <c r="K35" i="6"/>
  <c r="B38" i="6"/>
  <c r="B40" i="6"/>
  <c r="X40" i="6" s="1"/>
  <c r="K45" i="6"/>
  <c r="Q42" i="6"/>
  <c r="K42" i="6"/>
  <c r="W42" i="6"/>
  <c r="B42" i="6"/>
  <c r="U42" i="6" s="1"/>
  <c r="R6" i="6"/>
  <c r="L8" i="6"/>
  <c r="R13" i="6"/>
  <c r="L16" i="6"/>
  <c r="R21" i="6"/>
  <c r="T44" i="6"/>
  <c r="N46" i="6"/>
  <c r="K47" i="6"/>
  <c r="B49" i="6"/>
  <c r="W49" i="6"/>
  <c r="T50" i="6"/>
  <c r="Q52" i="6"/>
  <c r="U6" i="6"/>
  <c r="O8" i="6"/>
  <c r="L11" i="6"/>
  <c r="U13" i="6"/>
  <c r="L18" i="6"/>
  <c r="U21" i="6"/>
  <c r="O23" i="6"/>
  <c r="B44" i="6"/>
  <c r="W44" i="6"/>
  <c r="T45" i="6"/>
  <c r="Q46" i="6"/>
  <c r="N47" i="6"/>
  <c r="K48" i="6"/>
  <c r="B50" i="6"/>
  <c r="W50" i="6"/>
  <c r="T52" i="6"/>
  <c r="X6" i="6"/>
  <c r="R8" i="6"/>
  <c r="O11" i="6"/>
  <c r="X13" i="6"/>
  <c r="O18" i="6"/>
  <c r="X21" i="6"/>
  <c r="X28" i="6"/>
  <c r="T46" i="6"/>
  <c r="N48" i="6"/>
  <c r="K49" i="6"/>
  <c r="B39" i="6"/>
  <c r="W39" i="6"/>
  <c r="N42" i="6"/>
  <c r="U8" i="6"/>
  <c r="R11" i="6"/>
  <c r="R18" i="6"/>
  <c r="O19" i="6"/>
  <c r="K44" i="6"/>
  <c r="B46" i="6"/>
  <c r="W46" i="6"/>
  <c r="Q48" i="6"/>
  <c r="N49" i="6"/>
  <c r="K50" i="6"/>
  <c r="L6" i="6"/>
  <c r="U11" i="6"/>
  <c r="L13" i="6"/>
  <c r="U18" i="6"/>
  <c r="L21" i="6"/>
  <c r="N44" i="6"/>
  <c r="B47" i="6"/>
  <c r="T48" i="6"/>
  <c r="Q49" i="6"/>
  <c r="N50" i="6"/>
  <c r="B48" i="6"/>
  <c r="X41" i="5"/>
  <c r="W41" i="5"/>
  <c r="U41" i="5"/>
  <c r="T41" i="5"/>
  <c r="R41" i="5"/>
  <c r="Q41" i="5"/>
  <c r="O41" i="5"/>
  <c r="K41" i="5"/>
  <c r="K48" i="5"/>
  <c r="T47" i="5"/>
  <c r="Q47" i="5"/>
  <c r="N47" i="5"/>
  <c r="K47" i="5"/>
  <c r="X47" i="5"/>
  <c r="L47" i="5"/>
  <c r="O47" i="5"/>
  <c r="U47" i="5"/>
  <c r="R47" i="5"/>
  <c r="W48" i="5"/>
  <c r="B48" i="5"/>
  <c r="W47" i="5"/>
  <c r="T39" i="5"/>
  <c r="Q39" i="5"/>
  <c r="N39" i="5"/>
  <c r="X39" i="5"/>
  <c r="U39" i="5"/>
  <c r="L39" i="5"/>
  <c r="O39" i="5"/>
  <c r="R39" i="5"/>
  <c r="K39" i="5"/>
  <c r="W39" i="5"/>
  <c r="T37" i="5"/>
  <c r="Q37" i="5"/>
  <c r="N37" i="5"/>
  <c r="K37" i="5"/>
  <c r="X37" i="5"/>
  <c r="L37" i="5"/>
  <c r="O37" i="5"/>
  <c r="R37" i="5"/>
  <c r="U37" i="5"/>
  <c r="W37" i="5"/>
  <c r="Q24" i="5"/>
  <c r="N24" i="5"/>
  <c r="K24" i="5"/>
  <c r="B25" i="5"/>
  <c r="W25" i="5"/>
  <c r="Q25" i="5"/>
  <c r="N25" i="5"/>
  <c r="X24" i="5"/>
  <c r="U24" i="5"/>
  <c r="L24" i="5"/>
  <c r="O24" i="5"/>
  <c r="R24" i="5"/>
  <c r="K26" i="5"/>
  <c r="B26" i="5"/>
  <c r="W26" i="5"/>
  <c r="X25" i="5"/>
  <c r="T26" i="5"/>
  <c r="W24" i="5"/>
  <c r="T29" i="5"/>
  <c r="B18" i="5"/>
  <c r="X18" i="5" s="1"/>
  <c r="N31" i="5"/>
  <c r="K31" i="5"/>
  <c r="Q29" i="5"/>
  <c r="Q31" i="5"/>
  <c r="T32" i="5"/>
  <c r="Q32" i="5"/>
  <c r="N32" i="5"/>
  <c r="K32" i="5"/>
  <c r="Q30" i="5"/>
  <c r="N30" i="5"/>
  <c r="X32" i="5"/>
  <c r="L32" i="5"/>
  <c r="O32" i="5"/>
  <c r="U32" i="5"/>
  <c r="R32" i="5"/>
  <c r="W32" i="5"/>
  <c r="X29" i="5"/>
  <c r="L29" i="5"/>
  <c r="O29" i="5"/>
  <c r="U29" i="5"/>
  <c r="R29" i="5"/>
  <c r="K30" i="5"/>
  <c r="N29" i="5"/>
  <c r="K29" i="5"/>
  <c r="W30" i="5"/>
  <c r="B30" i="5"/>
  <c r="W29" i="5"/>
  <c r="W31" i="5"/>
  <c r="B31" i="5"/>
  <c r="N20" i="5"/>
  <c r="K21" i="5"/>
  <c r="N21" i="5"/>
  <c r="Q21" i="5"/>
  <c r="T21" i="5"/>
  <c r="B21" i="5"/>
  <c r="K18" i="5"/>
  <c r="N18" i="5"/>
  <c r="Q18" i="5"/>
  <c r="T15" i="5"/>
  <c r="T18" i="5"/>
  <c r="K20" i="5"/>
  <c r="K16" i="5"/>
  <c r="K23" i="5"/>
  <c r="B16" i="5"/>
  <c r="N22" i="5"/>
  <c r="W16" i="5"/>
  <c r="Q15" i="5"/>
  <c r="N15" i="5"/>
  <c r="Q16" i="5"/>
  <c r="K15" i="5"/>
  <c r="T20" i="5"/>
  <c r="Q20" i="5"/>
  <c r="N16" i="5"/>
  <c r="W19" i="5"/>
  <c r="B19" i="5"/>
  <c r="R19" i="5" s="1"/>
  <c r="X15" i="5"/>
  <c r="U15" i="5"/>
  <c r="L15" i="5"/>
  <c r="O15" i="5"/>
  <c r="R15" i="5"/>
  <c r="K19" i="5"/>
  <c r="T19" i="5"/>
  <c r="Q19" i="5"/>
  <c r="W15" i="5"/>
  <c r="U20" i="5"/>
  <c r="X20" i="5"/>
  <c r="L20" i="5"/>
  <c r="R20" i="5"/>
  <c r="O20" i="5"/>
  <c r="K22" i="5"/>
  <c r="W23" i="5"/>
  <c r="T23" i="5"/>
  <c r="W22" i="5"/>
  <c r="B22" i="5"/>
  <c r="Q23" i="5"/>
  <c r="T22" i="5"/>
  <c r="W20" i="5"/>
  <c r="B23" i="5"/>
  <c r="T11" i="5"/>
  <c r="W14" i="5"/>
  <c r="B14" i="5"/>
  <c r="T14" i="5"/>
  <c r="Q14" i="5"/>
  <c r="N14" i="5"/>
  <c r="Q11" i="5"/>
  <c r="N11" i="5"/>
  <c r="K11" i="5"/>
  <c r="X11" i="5"/>
  <c r="U11" i="5"/>
  <c r="L11" i="5"/>
  <c r="O11" i="5"/>
  <c r="R11" i="5"/>
  <c r="W11" i="5"/>
  <c r="W42" i="5"/>
  <c r="B7" i="5"/>
  <c r="X7" i="5" s="1"/>
  <c r="N4" i="5"/>
  <c r="W36" i="5"/>
  <c r="Q4" i="5"/>
  <c r="B6" i="5"/>
  <c r="L6" i="5" s="1"/>
  <c r="T8" i="5"/>
  <c r="K34" i="5"/>
  <c r="N34" i="5"/>
  <c r="Q34" i="5"/>
  <c r="B36" i="5"/>
  <c r="N12" i="5"/>
  <c r="B38" i="5"/>
  <c r="R38" i="5" s="1"/>
  <c r="W35" i="5"/>
  <c r="K38" i="5"/>
  <c r="K13" i="5"/>
  <c r="B42" i="5"/>
  <c r="R42" i="5" s="1"/>
  <c r="T43" i="5"/>
  <c r="Q7" i="5"/>
  <c r="N13" i="5"/>
  <c r="W38" i="5"/>
  <c r="N44" i="5"/>
  <c r="K6" i="5"/>
  <c r="T7" i="5"/>
  <c r="K45" i="5"/>
  <c r="N45" i="5"/>
  <c r="K35" i="5"/>
  <c r="Q13" i="5"/>
  <c r="W6" i="5"/>
  <c r="W7" i="5"/>
  <c r="K42" i="5"/>
  <c r="Q45" i="5"/>
  <c r="K4" i="5"/>
  <c r="B35" i="5"/>
  <c r="R35" i="5" s="1"/>
  <c r="K36" i="5"/>
  <c r="B4" i="5"/>
  <c r="W4" i="5"/>
  <c r="T5" i="5"/>
  <c r="Q6" i="5"/>
  <c r="N8" i="5"/>
  <c r="K7" i="5"/>
  <c r="B13" i="5"/>
  <c r="W13" i="5"/>
  <c r="Q35" i="5"/>
  <c r="Q42" i="5"/>
  <c r="N43" i="5"/>
  <c r="B45" i="5"/>
  <c r="W45" i="5"/>
  <c r="T46" i="5"/>
  <c r="Q38" i="5"/>
  <c r="B34" i="5"/>
  <c r="W34" i="5"/>
  <c r="T28" i="5"/>
  <c r="Q36" i="5"/>
  <c r="B5" i="5"/>
  <c r="W5" i="5"/>
  <c r="T6" i="5"/>
  <c r="Q8" i="5"/>
  <c r="K12" i="5"/>
  <c r="T35" i="5"/>
  <c r="T42" i="5"/>
  <c r="Q43" i="5"/>
  <c r="K44" i="5"/>
  <c r="B46" i="5"/>
  <c r="W46" i="5"/>
  <c r="T38" i="5"/>
  <c r="B28" i="5"/>
  <c r="W28" i="5"/>
  <c r="T36" i="5"/>
  <c r="K5" i="5"/>
  <c r="B8" i="5"/>
  <c r="W8" i="5"/>
  <c r="Q12" i="5"/>
  <c r="B43" i="5"/>
  <c r="W43" i="5"/>
  <c r="Q44" i="5"/>
  <c r="K46" i="5"/>
  <c r="K28" i="5"/>
  <c r="N5" i="5"/>
  <c r="T12" i="5"/>
  <c r="T44" i="5"/>
  <c r="N46" i="5"/>
  <c r="N28" i="5"/>
  <c r="B12" i="5"/>
  <c r="B44" i="5"/>
  <c r="B17" i="4"/>
  <c r="K17" i="4"/>
  <c r="N17" i="4"/>
  <c r="Q17" i="4"/>
  <c r="T17" i="4"/>
  <c r="W17" i="4"/>
  <c r="B16" i="4"/>
  <c r="K16" i="4"/>
  <c r="N16" i="4"/>
  <c r="Q16" i="4"/>
  <c r="T16" i="4"/>
  <c r="W16" i="4"/>
  <c r="B29" i="4"/>
  <c r="K29" i="4"/>
  <c r="N29" i="4"/>
  <c r="Q29" i="4"/>
  <c r="T29" i="4"/>
  <c r="W29" i="4"/>
  <c r="B28" i="4"/>
  <c r="K28" i="4"/>
  <c r="N28" i="4"/>
  <c r="Q28" i="4"/>
  <c r="T28" i="4"/>
  <c r="W28" i="4"/>
  <c r="B27" i="4"/>
  <c r="K27" i="4"/>
  <c r="N27" i="4"/>
  <c r="Q27" i="4"/>
  <c r="T27" i="4"/>
  <c r="W27" i="4"/>
  <c r="X3" i="4"/>
  <c r="U3" i="4"/>
  <c r="R3" i="4"/>
  <c r="O3" i="4"/>
  <c r="L3" i="4"/>
  <c r="W3" i="4"/>
  <c r="T3" i="4"/>
  <c r="Q3" i="4"/>
  <c r="N3" i="4"/>
  <c r="K3" i="4"/>
  <c r="X4" i="4"/>
  <c r="U4" i="4"/>
  <c r="R4" i="4"/>
  <c r="O4" i="4"/>
  <c r="L4" i="4"/>
  <c r="W4" i="4"/>
  <c r="T4" i="4"/>
  <c r="Q4" i="4"/>
  <c r="N4" i="4"/>
  <c r="K4" i="4"/>
  <c r="X5" i="4"/>
  <c r="U5" i="4"/>
  <c r="R5" i="4"/>
  <c r="O5" i="4"/>
  <c r="L5" i="4"/>
  <c r="W5" i="4"/>
  <c r="T5" i="4"/>
  <c r="Q5" i="4"/>
  <c r="N5" i="4"/>
  <c r="K5" i="4"/>
  <c r="X6" i="4"/>
  <c r="U6" i="4"/>
  <c r="R6" i="4"/>
  <c r="O6" i="4"/>
  <c r="L6" i="4"/>
  <c r="W6" i="4"/>
  <c r="T6" i="4"/>
  <c r="Q6" i="4"/>
  <c r="N6" i="4"/>
  <c r="K6" i="4"/>
  <c r="X7" i="4"/>
  <c r="U7" i="4"/>
  <c r="R7" i="4"/>
  <c r="O7" i="4"/>
  <c r="L7" i="4"/>
  <c r="W7" i="4"/>
  <c r="T7" i="4"/>
  <c r="Q7" i="4"/>
  <c r="N7" i="4"/>
  <c r="K7" i="4"/>
  <c r="X9" i="4"/>
  <c r="U9" i="4"/>
  <c r="R9" i="4"/>
  <c r="O9" i="4"/>
  <c r="L9" i="4"/>
  <c r="W9" i="4"/>
  <c r="T9" i="4"/>
  <c r="Q9" i="4"/>
  <c r="N9" i="4"/>
  <c r="K9" i="4"/>
  <c r="X10" i="4"/>
  <c r="U10" i="4"/>
  <c r="R10" i="4"/>
  <c r="O10" i="4"/>
  <c r="L10" i="4"/>
  <c r="W10" i="4"/>
  <c r="T10" i="4"/>
  <c r="Q10" i="4"/>
  <c r="N10" i="4"/>
  <c r="K10" i="4"/>
  <c r="X11" i="4"/>
  <c r="U11" i="4"/>
  <c r="R11" i="4"/>
  <c r="O11" i="4"/>
  <c r="L11" i="4"/>
  <c r="W11" i="4"/>
  <c r="T11" i="4"/>
  <c r="Q11" i="4"/>
  <c r="N11" i="4"/>
  <c r="K11" i="4"/>
  <c r="X12" i="4"/>
  <c r="U12" i="4"/>
  <c r="R12" i="4"/>
  <c r="O12" i="4"/>
  <c r="L12" i="4"/>
  <c r="W12" i="4"/>
  <c r="T12" i="4"/>
  <c r="Q12" i="4"/>
  <c r="N12" i="4"/>
  <c r="K12" i="4"/>
  <c r="X13" i="4"/>
  <c r="U13" i="4"/>
  <c r="R13" i="4"/>
  <c r="O13" i="4"/>
  <c r="L13" i="4"/>
  <c r="W13" i="4"/>
  <c r="T13" i="4"/>
  <c r="Q13" i="4"/>
  <c r="N13" i="4"/>
  <c r="K13" i="4"/>
  <c r="X14" i="4"/>
  <c r="U14" i="4"/>
  <c r="R14" i="4"/>
  <c r="O14" i="4"/>
  <c r="L14" i="4"/>
  <c r="W14" i="4"/>
  <c r="T14" i="4"/>
  <c r="Q14" i="4"/>
  <c r="N14" i="4"/>
  <c r="K14" i="4"/>
  <c r="X15" i="4"/>
  <c r="U15" i="4"/>
  <c r="R15" i="4"/>
  <c r="O15" i="4"/>
  <c r="L15" i="4"/>
  <c r="W15" i="4"/>
  <c r="T15" i="4"/>
  <c r="Q15" i="4"/>
  <c r="N15" i="4"/>
  <c r="K15" i="4"/>
  <c r="X18" i="4"/>
  <c r="U18" i="4"/>
  <c r="R18" i="4"/>
  <c r="O18" i="4"/>
  <c r="L18" i="4"/>
  <c r="W18" i="4"/>
  <c r="T18" i="4"/>
  <c r="Q18" i="4"/>
  <c r="N18" i="4"/>
  <c r="K18" i="4"/>
  <c r="X19" i="4"/>
  <c r="U19" i="4"/>
  <c r="R19" i="4"/>
  <c r="O19" i="4"/>
  <c r="L19" i="4"/>
  <c r="W19" i="4"/>
  <c r="T19" i="4"/>
  <c r="Q19" i="4"/>
  <c r="N19" i="4"/>
  <c r="K19" i="4"/>
  <c r="X20" i="4"/>
  <c r="U20" i="4"/>
  <c r="R20" i="4"/>
  <c r="O20" i="4"/>
  <c r="L20" i="4"/>
  <c r="W20" i="4"/>
  <c r="T20" i="4"/>
  <c r="Q20" i="4"/>
  <c r="N20" i="4"/>
  <c r="K20" i="4"/>
  <c r="X21" i="4"/>
  <c r="U21" i="4"/>
  <c r="R21" i="4"/>
  <c r="O21" i="4"/>
  <c r="L21" i="4"/>
  <c r="W21" i="4"/>
  <c r="T21" i="4"/>
  <c r="Q21" i="4"/>
  <c r="N21" i="4"/>
  <c r="K21" i="4"/>
  <c r="X22" i="4"/>
  <c r="U22" i="4"/>
  <c r="R22" i="4"/>
  <c r="O22" i="4"/>
  <c r="L22" i="4"/>
  <c r="W22" i="4"/>
  <c r="T22" i="4"/>
  <c r="Q22" i="4"/>
  <c r="N22" i="4"/>
  <c r="K22" i="4"/>
  <c r="X23" i="4"/>
  <c r="U23" i="4"/>
  <c r="R23" i="4"/>
  <c r="O23" i="4"/>
  <c r="L23" i="4"/>
  <c r="W23" i="4"/>
  <c r="T23" i="4"/>
  <c r="Q23" i="4"/>
  <c r="N23" i="4"/>
  <c r="K23" i="4"/>
  <c r="X24" i="4"/>
  <c r="U24" i="4"/>
  <c r="R24" i="4"/>
  <c r="O24" i="4"/>
  <c r="L24" i="4"/>
  <c r="W24" i="4"/>
  <c r="T24" i="4"/>
  <c r="Q24" i="4"/>
  <c r="N24" i="4"/>
  <c r="K24" i="4"/>
  <c r="X25" i="4"/>
  <c r="U25" i="4"/>
  <c r="R25" i="4"/>
  <c r="O25" i="4"/>
  <c r="L25" i="4"/>
  <c r="W25" i="4"/>
  <c r="T25" i="4"/>
  <c r="Q25" i="4"/>
  <c r="N25" i="4"/>
  <c r="K25" i="4"/>
  <c r="X26" i="4"/>
  <c r="U26" i="4"/>
  <c r="R26" i="4"/>
  <c r="O26" i="4"/>
  <c r="L26" i="4"/>
  <c r="W26" i="4"/>
  <c r="T26" i="4"/>
  <c r="Q26" i="4"/>
  <c r="N26" i="4"/>
  <c r="K26" i="4"/>
  <c r="X3" i="2"/>
  <c r="U3" i="2"/>
  <c r="R3" i="2"/>
  <c r="O3" i="2"/>
  <c r="L3" i="2"/>
  <c r="W3" i="2"/>
  <c r="T3" i="2"/>
  <c r="Q3" i="2"/>
  <c r="N3" i="2"/>
  <c r="K3" i="2"/>
  <c r="X5" i="2"/>
  <c r="U5" i="2"/>
  <c r="R5" i="2"/>
  <c r="O5" i="2"/>
  <c r="L5" i="2"/>
  <c r="W5" i="2"/>
  <c r="T5" i="2"/>
  <c r="Q5" i="2"/>
  <c r="N5" i="2"/>
  <c r="K5" i="2"/>
  <c r="X6" i="2"/>
  <c r="U6" i="2"/>
  <c r="R6" i="2"/>
  <c r="O6" i="2"/>
  <c r="L6" i="2"/>
  <c r="W6" i="2"/>
  <c r="T6" i="2"/>
  <c r="Q6" i="2"/>
  <c r="N6" i="2"/>
  <c r="K6" i="2"/>
  <c r="X7" i="2"/>
  <c r="U7" i="2"/>
  <c r="R7" i="2"/>
  <c r="O7" i="2"/>
  <c r="L7" i="2"/>
  <c r="W7" i="2"/>
  <c r="T7" i="2"/>
  <c r="Q7" i="2"/>
  <c r="N7" i="2"/>
  <c r="K7" i="2"/>
  <c r="X8" i="2"/>
  <c r="U8" i="2"/>
  <c r="R8" i="2"/>
  <c r="O8" i="2"/>
  <c r="L8" i="2"/>
  <c r="W8" i="2"/>
  <c r="T8" i="2"/>
  <c r="Q8" i="2"/>
  <c r="N8" i="2"/>
  <c r="K8" i="2"/>
  <c r="X9" i="2"/>
  <c r="U9" i="2"/>
  <c r="R9" i="2"/>
  <c r="O9" i="2"/>
  <c r="L9" i="2"/>
  <c r="W9" i="2"/>
  <c r="T9" i="2"/>
  <c r="Q9" i="2"/>
  <c r="N9" i="2"/>
  <c r="K9" i="2"/>
  <c r="X10" i="2"/>
  <c r="U10" i="2"/>
  <c r="R10" i="2"/>
  <c r="O10" i="2"/>
  <c r="L10" i="2"/>
  <c r="W10" i="2"/>
  <c r="T10" i="2"/>
  <c r="Q10" i="2"/>
  <c r="N10" i="2"/>
  <c r="K10" i="2"/>
  <c r="X11" i="2"/>
  <c r="U11" i="2"/>
  <c r="R11" i="2"/>
  <c r="O11" i="2"/>
  <c r="L11" i="2"/>
  <c r="W11" i="2"/>
  <c r="T11" i="2"/>
  <c r="Q11" i="2"/>
  <c r="N11" i="2"/>
  <c r="K11" i="2"/>
  <c r="X12" i="2"/>
  <c r="U12" i="2"/>
  <c r="R12" i="2"/>
  <c r="O12" i="2"/>
  <c r="L12" i="2"/>
  <c r="W12" i="2"/>
  <c r="T12" i="2"/>
  <c r="Q12" i="2"/>
  <c r="N12" i="2"/>
  <c r="K12" i="2"/>
  <c r="X13" i="2"/>
  <c r="U13" i="2"/>
  <c r="R13" i="2"/>
  <c r="O13" i="2"/>
  <c r="L13" i="2"/>
  <c r="W13" i="2"/>
  <c r="T13" i="2"/>
  <c r="Q13" i="2"/>
  <c r="N13" i="2"/>
  <c r="K13" i="2"/>
  <c r="X14" i="2"/>
  <c r="U14" i="2"/>
  <c r="R14" i="2"/>
  <c r="O14" i="2"/>
  <c r="L14" i="2"/>
  <c r="W14" i="2"/>
  <c r="T14" i="2"/>
  <c r="Q14" i="2"/>
  <c r="N14" i="2"/>
  <c r="K14" i="2"/>
  <c r="X15" i="2"/>
  <c r="U15" i="2"/>
  <c r="R15" i="2"/>
  <c r="O15" i="2"/>
  <c r="L15" i="2"/>
  <c r="W15" i="2"/>
  <c r="T15" i="2"/>
  <c r="Q15" i="2"/>
  <c r="N15" i="2"/>
  <c r="K15" i="2"/>
  <c r="X16" i="2"/>
  <c r="U16" i="2"/>
  <c r="R16" i="2"/>
  <c r="O16" i="2"/>
  <c r="L16" i="2"/>
  <c r="W16" i="2"/>
  <c r="T16" i="2"/>
  <c r="Q16" i="2"/>
  <c r="N16" i="2"/>
  <c r="K16" i="2"/>
  <c r="X17" i="2"/>
  <c r="U17" i="2"/>
  <c r="R17" i="2"/>
  <c r="O17" i="2"/>
  <c r="L17" i="2"/>
  <c r="W17" i="2"/>
  <c r="T17" i="2"/>
  <c r="Q17" i="2"/>
  <c r="N17" i="2"/>
  <c r="K17" i="2"/>
  <c r="X18" i="2"/>
  <c r="U18" i="2"/>
  <c r="R18" i="2"/>
  <c r="O18" i="2"/>
  <c r="L18" i="2"/>
  <c r="W18" i="2"/>
  <c r="T18" i="2"/>
  <c r="Q18" i="2"/>
  <c r="N18" i="2"/>
  <c r="K18" i="2"/>
  <c r="X19" i="2"/>
  <c r="U19" i="2"/>
  <c r="R19" i="2"/>
  <c r="O19" i="2"/>
  <c r="L19" i="2"/>
  <c r="W19" i="2"/>
  <c r="T19" i="2"/>
  <c r="Q19" i="2"/>
  <c r="N19" i="2"/>
  <c r="K19" i="2"/>
  <c r="X20" i="2"/>
  <c r="U20" i="2"/>
  <c r="R20" i="2"/>
  <c r="O20" i="2"/>
  <c r="L20" i="2"/>
  <c r="W20" i="2"/>
  <c r="T20" i="2"/>
  <c r="Q20" i="2"/>
  <c r="N20" i="2"/>
  <c r="K20" i="2"/>
  <c r="X21" i="2"/>
  <c r="U21" i="2"/>
  <c r="R21" i="2"/>
  <c r="O21" i="2"/>
  <c r="L21" i="2"/>
  <c r="W21" i="2"/>
  <c r="T21" i="2"/>
  <c r="Q21" i="2"/>
  <c r="N21" i="2"/>
  <c r="K21" i="2"/>
  <c r="X22" i="2"/>
  <c r="U22" i="2"/>
  <c r="R22" i="2"/>
  <c r="O22" i="2"/>
  <c r="L22" i="2"/>
  <c r="W22" i="2"/>
  <c r="T22" i="2"/>
  <c r="Q22" i="2"/>
  <c r="N22" i="2"/>
  <c r="K22" i="2"/>
  <c r="X23" i="2"/>
  <c r="U23" i="2"/>
  <c r="R23" i="2"/>
  <c r="O23" i="2"/>
  <c r="L23" i="2"/>
  <c r="W23" i="2"/>
  <c r="T23" i="2"/>
  <c r="Q23" i="2"/>
  <c r="N23" i="2"/>
  <c r="K23" i="2"/>
  <c r="X24" i="2"/>
  <c r="U24" i="2"/>
  <c r="R24" i="2"/>
  <c r="O24" i="2"/>
  <c r="L24" i="2"/>
  <c r="W24" i="2"/>
  <c r="T24" i="2"/>
  <c r="Q24" i="2"/>
  <c r="N24" i="2"/>
  <c r="K24" i="2"/>
  <c r="X25" i="2"/>
  <c r="U25" i="2"/>
  <c r="R25" i="2"/>
  <c r="O25" i="2"/>
  <c r="L25" i="2"/>
  <c r="W25" i="2"/>
  <c r="T25" i="2"/>
  <c r="Q25" i="2"/>
  <c r="N25" i="2"/>
  <c r="K25" i="2"/>
  <c r="X26" i="2"/>
  <c r="U26" i="2"/>
  <c r="R26" i="2"/>
  <c r="O26" i="2"/>
  <c r="L26" i="2"/>
  <c r="W26" i="2"/>
  <c r="T26" i="2"/>
  <c r="Q26" i="2"/>
  <c r="N26" i="2"/>
  <c r="K26" i="2"/>
  <c r="X27" i="2"/>
  <c r="U27" i="2"/>
  <c r="R27" i="2"/>
  <c r="O27" i="2"/>
  <c r="L27" i="2"/>
  <c r="W27" i="2"/>
  <c r="T27" i="2"/>
  <c r="Q27" i="2"/>
  <c r="N27" i="2"/>
  <c r="K27" i="2"/>
  <c r="X28" i="2"/>
  <c r="U28" i="2"/>
  <c r="R28" i="2"/>
  <c r="O28" i="2"/>
  <c r="L28" i="2"/>
  <c r="W28" i="2"/>
  <c r="T28" i="2"/>
  <c r="Q28" i="2"/>
  <c r="N28" i="2"/>
  <c r="K28" i="2"/>
  <c r="X29" i="2"/>
  <c r="U29" i="2"/>
  <c r="R29" i="2"/>
  <c r="O29" i="2"/>
  <c r="L29" i="2"/>
  <c r="W29" i="2"/>
  <c r="T29" i="2"/>
  <c r="Q29" i="2"/>
  <c r="N29" i="2"/>
  <c r="K29" i="2"/>
  <c r="X30" i="2"/>
  <c r="U30" i="2"/>
  <c r="R30" i="2"/>
  <c r="O30" i="2"/>
  <c r="L30" i="2"/>
  <c r="W30" i="2"/>
  <c r="T30" i="2"/>
  <c r="Q30" i="2"/>
  <c r="N30" i="2"/>
  <c r="K30" i="2"/>
  <c r="X31" i="2"/>
  <c r="U31" i="2"/>
  <c r="R31" i="2"/>
  <c r="O31" i="2"/>
  <c r="L31" i="2"/>
  <c r="W31" i="2"/>
  <c r="T31" i="2"/>
  <c r="Q31" i="2"/>
  <c r="N31" i="2"/>
  <c r="K31" i="2"/>
  <c r="X32" i="2"/>
  <c r="U32" i="2"/>
  <c r="R32" i="2"/>
  <c r="O32" i="2"/>
  <c r="L32" i="2"/>
  <c r="W32" i="2"/>
  <c r="T32" i="2"/>
  <c r="Q32" i="2"/>
  <c r="N32" i="2"/>
  <c r="K32" i="2"/>
  <c r="U3" i="3"/>
  <c r="U4" i="3"/>
  <c r="U5" i="3"/>
  <c r="U6" i="3"/>
  <c r="U7" i="3"/>
  <c r="T7" i="3"/>
  <c r="U8" i="3"/>
  <c r="T8" i="3"/>
  <c r="U9" i="3"/>
  <c r="T9" i="3"/>
  <c r="U10" i="3"/>
  <c r="T10" i="3"/>
  <c r="U11" i="3"/>
  <c r="T11" i="3"/>
  <c r="U12" i="3"/>
  <c r="T12" i="3"/>
  <c r="U13" i="3"/>
  <c r="T13" i="3"/>
  <c r="U14" i="3"/>
  <c r="T14" i="3"/>
  <c r="U15" i="3"/>
  <c r="T15" i="3"/>
  <c r="U16" i="3"/>
  <c r="T16" i="3"/>
  <c r="U17" i="3"/>
  <c r="T17" i="3"/>
  <c r="U18" i="3"/>
  <c r="U19" i="3"/>
  <c r="T19" i="3"/>
  <c r="U20" i="3"/>
  <c r="T20" i="3"/>
  <c r="U21" i="3"/>
  <c r="U22" i="3"/>
  <c r="T22" i="3"/>
  <c r="U23" i="3"/>
  <c r="U24" i="3"/>
  <c r="T24" i="3"/>
  <c r="T6" i="3"/>
  <c r="T5" i="3"/>
  <c r="T4" i="3"/>
  <c r="T3" i="3"/>
  <c r="U31" i="3"/>
  <c r="U30" i="3"/>
  <c r="U29" i="3"/>
  <c r="U28" i="3"/>
  <c r="U27" i="3"/>
  <c r="U26" i="3"/>
  <c r="U25" i="3"/>
  <c r="T31" i="3"/>
  <c r="T30" i="3"/>
  <c r="T29" i="3"/>
  <c r="T28" i="3"/>
  <c r="T27" i="3"/>
  <c r="T26" i="3"/>
  <c r="T25" i="3"/>
  <c r="R3" i="3"/>
  <c r="O3" i="3"/>
  <c r="L3" i="3"/>
  <c r="Q3" i="3"/>
  <c r="N3" i="3"/>
  <c r="K3" i="3"/>
  <c r="R4" i="3"/>
  <c r="O4" i="3"/>
  <c r="L4" i="3"/>
  <c r="Q4" i="3"/>
  <c r="N4" i="3"/>
  <c r="K4" i="3"/>
  <c r="R5" i="3"/>
  <c r="O5" i="3"/>
  <c r="L5" i="3"/>
  <c r="Q5" i="3"/>
  <c r="N5" i="3"/>
  <c r="K5" i="3"/>
  <c r="R6" i="3"/>
  <c r="O6" i="3"/>
  <c r="L6" i="3"/>
  <c r="Q6" i="3"/>
  <c r="N6" i="3"/>
  <c r="K6" i="3"/>
  <c r="R7" i="3"/>
  <c r="O7" i="3"/>
  <c r="L7" i="3"/>
  <c r="Q7" i="3"/>
  <c r="N7" i="3"/>
  <c r="K7" i="3"/>
  <c r="R8" i="3"/>
  <c r="O8" i="3"/>
  <c r="L8" i="3"/>
  <c r="Q8" i="3"/>
  <c r="N8" i="3"/>
  <c r="K8" i="3"/>
  <c r="R9" i="3"/>
  <c r="O9" i="3"/>
  <c r="L9" i="3"/>
  <c r="Q9" i="3"/>
  <c r="N9" i="3"/>
  <c r="K9" i="3"/>
  <c r="R10" i="3"/>
  <c r="O10" i="3"/>
  <c r="L10" i="3"/>
  <c r="Q10" i="3"/>
  <c r="N10" i="3"/>
  <c r="K10" i="3"/>
  <c r="R11" i="3"/>
  <c r="O11" i="3"/>
  <c r="L11" i="3"/>
  <c r="Q11" i="3"/>
  <c r="N11" i="3"/>
  <c r="K11" i="3"/>
  <c r="R12" i="3"/>
  <c r="O12" i="3"/>
  <c r="L12" i="3"/>
  <c r="Q12" i="3"/>
  <c r="N12" i="3"/>
  <c r="K12" i="3"/>
  <c r="R13" i="3"/>
  <c r="O13" i="3"/>
  <c r="L13" i="3"/>
  <c r="Q13" i="3"/>
  <c r="N13" i="3"/>
  <c r="K13" i="3"/>
  <c r="R14" i="3"/>
  <c r="O14" i="3"/>
  <c r="L14" i="3"/>
  <c r="Q14" i="3"/>
  <c r="N14" i="3"/>
  <c r="K14" i="3"/>
  <c r="R15" i="3"/>
  <c r="O15" i="3"/>
  <c r="L15" i="3"/>
  <c r="Q15" i="3"/>
  <c r="N15" i="3"/>
  <c r="K15" i="3"/>
  <c r="R16" i="3"/>
  <c r="O16" i="3"/>
  <c r="L16" i="3"/>
  <c r="Q16" i="3"/>
  <c r="N16" i="3"/>
  <c r="K16" i="3"/>
  <c r="R17" i="3"/>
  <c r="O17" i="3"/>
  <c r="L17" i="3"/>
  <c r="Q17" i="3"/>
  <c r="N17" i="3"/>
  <c r="K17" i="3"/>
  <c r="R18" i="3"/>
  <c r="O18" i="3"/>
  <c r="L18" i="3"/>
  <c r="Q18" i="3"/>
  <c r="N18" i="3"/>
  <c r="K18" i="3"/>
  <c r="R19" i="3"/>
  <c r="O19" i="3"/>
  <c r="L19" i="3"/>
  <c r="Q19" i="3"/>
  <c r="N19" i="3"/>
  <c r="K19" i="3"/>
  <c r="R20" i="3"/>
  <c r="O20" i="3"/>
  <c r="L20" i="3"/>
  <c r="Q20" i="3"/>
  <c r="N20" i="3"/>
  <c r="K20" i="3"/>
  <c r="R21" i="3"/>
  <c r="O21" i="3"/>
  <c r="L21" i="3"/>
  <c r="Q21" i="3"/>
  <c r="N21" i="3"/>
  <c r="K21" i="3"/>
  <c r="R22" i="3"/>
  <c r="O22" i="3"/>
  <c r="L22" i="3"/>
  <c r="Q22" i="3"/>
  <c r="N22" i="3"/>
  <c r="K22" i="3"/>
  <c r="R23" i="3"/>
  <c r="O23" i="3"/>
  <c r="L23" i="3"/>
  <c r="Q23" i="3"/>
  <c r="N23" i="3"/>
  <c r="K23" i="3"/>
  <c r="R24" i="3"/>
  <c r="O24" i="3"/>
  <c r="L24" i="3"/>
  <c r="Q24" i="3"/>
  <c r="N24" i="3"/>
  <c r="K24" i="3"/>
  <c r="R25" i="3"/>
  <c r="O25" i="3"/>
  <c r="L25" i="3"/>
  <c r="R26" i="3"/>
  <c r="O26" i="3"/>
  <c r="L26" i="3"/>
  <c r="R27" i="3"/>
  <c r="O27" i="3"/>
  <c r="L27" i="3"/>
  <c r="R28" i="3"/>
  <c r="O28" i="3"/>
  <c r="L28" i="3"/>
  <c r="R29" i="3"/>
  <c r="O29" i="3"/>
  <c r="L29" i="3"/>
  <c r="R30" i="3"/>
  <c r="O30" i="3"/>
  <c r="L30" i="3"/>
  <c r="R31" i="3"/>
  <c r="O31" i="3"/>
  <c r="L31" i="3"/>
  <c r="Q15" i="1"/>
  <c r="T13" i="1"/>
  <c r="T12" i="1"/>
  <c r="K12" i="1"/>
  <c r="L27" i="1"/>
  <c r="K24" i="1"/>
  <c r="K13" i="1"/>
  <c r="N15" i="1"/>
  <c r="U13" i="1"/>
  <c r="N20" i="1"/>
  <c r="O15" i="1"/>
  <c r="O13" i="1"/>
  <c r="N14" i="1"/>
  <c r="K20" i="1"/>
  <c r="L20" i="1"/>
  <c r="N3" i="1"/>
  <c r="Q22" i="1"/>
  <c r="Q3" i="1"/>
  <c r="Q20" i="1"/>
  <c r="K6" i="1"/>
  <c r="L21" i="1"/>
  <c r="Q21" i="1"/>
  <c r="K22" i="1"/>
  <c r="Q16" i="1"/>
  <c r="K21" i="1"/>
  <c r="N21" i="1"/>
  <c r="R15" i="1"/>
  <c r="T23" i="1"/>
  <c r="K10" i="1"/>
  <c r="O24" i="1"/>
  <c r="N6" i="1"/>
  <c r="T22" i="1"/>
  <c r="T6" i="1"/>
  <c r="T10" i="1"/>
  <c r="T8" i="1"/>
  <c r="N7" i="1"/>
  <c r="K9" i="1"/>
  <c r="U21" i="1"/>
  <c r="K11" i="1"/>
  <c r="T7" i="1"/>
  <c r="K8" i="1"/>
  <c r="N23" i="1"/>
  <c r="T21" i="1"/>
  <c r="Q23" i="1"/>
  <c r="K23" i="1"/>
  <c r="T11" i="1"/>
  <c r="T9" i="1"/>
  <c r="O7" i="1"/>
  <c r="N24" i="1"/>
  <c r="K7" i="1"/>
  <c r="N22" i="1"/>
  <c r="Q24" i="1"/>
  <c r="T20" i="1"/>
  <c r="L30" i="1"/>
  <c r="L28" i="1"/>
  <c r="L29" i="1"/>
  <c r="Q4" i="1"/>
  <c r="T31" i="1"/>
  <c r="N13" i="1"/>
  <c r="Q13" i="1"/>
  <c r="T28" i="1"/>
  <c r="K19" i="1"/>
  <c r="Q14" i="1"/>
  <c r="O12" i="1"/>
  <c r="Q12" i="1"/>
  <c r="Q11" i="1"/>
  <c r="Q29" i="1"/>
  <c r="Q19" i="1"/>
  <c r="Q10" i="1"/>
  <c r="T27" i="1"/>
  <c r="T17" i="1"/>
  <c r="N5" i="1"/>
  <c r="T29" i="1"/>
  <c r="K3" i="1"/>
  <c r="L18" i="1"/>
  <c r="U26" i="1"/>
  <c r="O31" i="1"/>
  <c r="N31" i="1"/>
  <c r="Q31" i="1"/>
  <c r="O29" i="1"/>
  <c r="K29" i="1"/>
  <c r="T3" i="1"/>
  <c r="T30" i="1"/>
  <c r="O30" i="1"/>
  <c r="K31" i="1"/>
  <c r="N30" i="1"/>
  <c r="N12" i="1"/>
  <c r="T18" i="1"/>
  <c r="K18" i="1"/>
  <c r="N29" i="1"/>
  <c r="N10" i="1"/>
  <c r="Q18" i="1"/>
  <c r="K16" i="1"/>
  <c r="L16" i="1"/>
  <c r="N18" i="1"/>
  <c r="Q28" i="1"/>
  <c r="T26" i="1"/>
  <c r="K15" i="1"/>
  <c r="O27" i="1"/>
  <c r="N17" i="1"/>
  <c r="N9" i="1"/>
  <c r="R27" i="1"/>
  <c r="Q17" i="1"/>
  <c r="Q7" i="1"/>
  <c r="T25" i="1"/>
  <c r="T15" i="1"/>
  <c r="T4" i="1"/>
  <c r="Q5" i="1"/>
  <c r="N4" i="1"/>
  <c r="T19" i="1"/>
  <c r="L19" i="1"/>
  <c r="Q30" i="1"/>
  <c r="K30" i="1"/>
  <c r="N11" i="1"/>
  <c r="K5" i="1"/>
  <c r="L17" i="1"/>
  <c r="N19" i="1"/>
  <c r="R28" i="1"/>
  <c r="Q9" i="1"/>
  <c r="T16" i="1"/>
  <c r="K28" i="1"/>
  <c r="K4" i="1"/>
  <c r="N28" i="1"/>
  <c r="O9" i="1"/>
  <c r="R17" i="1"/>
  <c r="Q8" i="1"/>
  <c r="U15" i="1"/>
  <c r="T5" i="1"/>
  <c r="K27" i="1"/>
  <c r="L3" i="1"/>
  <c r="K26" i="1"/>
  <c r="K14" i="1"/>
  <c r="L31" i="1"/>
  <c r="L13" i="1"/>
  <c r="N27" i="1"/>
  <c r="N16" i="1"/>
  <c r="N8" i="1"/>
  <c r="Q27" i="1"/>
  <c r="R16" i="1"/>
  <c r="Q6" i="1"/>
  <c r="T24" i="1"/>
  <c r="T14" i="1"/>
  <c r="R10" i="1"/>
  <c r="O19" i="1"/>
  <c r="R23" i="1"/>
  <c r="R9" i="1"/>
  <c r="O23" i="1"/>
  <c r="R4" i="1"/>
  <c r="U14" i="1"/>
  <c r="U9" i="1"/>
  <c r="R5" i="1"/>
  <c r="U25" i="1"/>
  <c r="O18" i="1"/>
  <c r="O11" i="1"/>
  <c r="L24" i="1"/>
  <c r="O25" i="1"/>
  <c r="R29" i="1"/>
  <c r="L23" i="1"/>
  <c r="O17" i="1"/>
  <c r="R11" i="1"/>
  <c r="U8" i="1"/>
  <c r="R22" i="1"/>
  <c r="U20" i="1"/>
  <c r="O5" i="1"/>
  <c r="U19" i="1"/>
  <c r="O28" i="1"/>
  <c r="O22" i="1"/>
  <c r="O16" i="1"/>
  <c r="O10" i="1"/>
  <c r="O4" i="1"/>
  <c r="R26" i="1"/>
  <c r="R20" i="1"/>
  <c r="R14" i="1"/>
  <c r="R8" i="1"/>
  <c r="U30" i="1"/>
  <c r="U24" i="1"/>
  <c r="U18" i="1"/>
  <c r="U12" i="1"/>
  <c r="U6" i="1"/>
  <c r="L7" i="1"/>
  <c r="L4" i="1"/>
  <c r="L26" i="1"/>
  <c r="L14" i="1"/>
  <c r="O3" i="1"/>
  <c r="L5" i="1"/>
  <c r="U7" i="1"/>
  <c r="L25" i="1"/>
  <c r="O21" i="1"/>
  <c r="R31" i="1"/>
  <c r="U11" i="1"/>
  <c r="O6" i="1"/>
  <c r="R3" i="1"/>
  <c r="L6" i="1"/>
  <c r="O8" i="1"/>
  <c r="R12" i="1"/>
  <c r="U22" i="1"/>
  <c r="U10" i="1"/>
  <c r="D106" i="21" l="1"/>
  <c r="I4" i="24"/>
  <c r="D4" i="24" s="1"/>
  <c r="U18" i="5"/>
  <c r="K45" i="7"/>
  <c r="K4" i="7"/>
  <c r="F3" i="7"/>
  <c r="X33" i="1"/>
  <c r="X35" i="1" s="1"/>
  <c r="U23" i="6"/>
  <c r="R23" i="6"/>
  <c r="Q7" i="7"/>
  <c r="R18" i="5"/>
  <c r="T23" i="7"/>
  <c r="O18" i="5"/>
  <c r="O30" i="6"/>
  <c r="L18" i="5"/>
  <c r="L23" i="6"/>
  <c r="N29" i="7"/>
  <c r="P38" i="20"/>
  <c r="T45" i="7"/>
  <c r="K13" i="7"/>
  <c r="Q45" i="7"/>
  <c r="N20" i="7"/>
  <c r="Q19" i="7"/>
  <c r="T20" i="7"/>
  <c r="N13" i="7"/>
  <c r="Q25" i="7"/>
  <c r="T24" i="7"/>
  <c r="K40" i="7"/>
  <c r="Q40" i="7"/>
  <c r="Q24" i="7"/>
  <c r="T12" i="7"/>
  <c r="T40" i="7"/>
  <c r="K20" i="7"/>
  <c r="T11" i="7"/>
  <c r="Q5" i="7"/>
  <c r="N7" i="7"/>
  <c r="T16" i="7"/>
  <c r="T13" i="7"/>
  <c r="K37" i="7"/>
  <c r="T5" i="7"/>
  <c r="T4" i="7"/>
  <c r="T37" i="7"/>
  <c r="K5" i="7"/>
  <c r="N48" i="7"/>
  <c r="K48" i="7"/>
  <c r="N4" i="7"/>
  <c r="N32" i="7"/>
  <c r="K26" i="7"/>
  <c r="N37" i="7"/>
  <c r="Q15" i="7"/>
  <c r="T19" i="7"/>
  <c r="Q4" i="7"/>
  <c r="Q48" i="7"/>
  <c r="K15" i="7"/>
  <c r="T31" i="7"/>
  <c r="N15" i="7"/>
  <c r="N26" i="7"/>
  <c r="N19" i="7"/>
  <c r="N12" i="7"/>
  <c r="Q12" i="7"/>
  <c r="Q11" i="7"/>
  <c r="K11" i="7"/>
  <c r="K24" i="7"/>
  <c r="T42" i="7"/>
  <c r="K42" i="7"/>
  <c r="Q42" i="7"/>
  <c r="Q30" i="7"/>
  <c r="N30" i="7"/>
  <c r="P54" i="7"/>
  <c r="P56" i="7" s="1"/>
  <c r="M54" i="7"/>
  <c r="M56" i="7" s="1"/>
  <c r="T29" i="7"/>
  <c r="Q29" i="7"/>
  <c r="T22" i="7"/>
  <c r="Q22" i="7"/>
  <c r="J54" i="7"/>
  <c r="J56" i="7" s="1"/>
  <c r="N42" i="7"/>
  <c r="T25" i="7"/>
  <c r="K22" i="7"/>
  <c r="K32" i="7"/>
  <c r="Q32" i="7"/>
  <c r="T30" i="7"/>
  <c r="Q16" i="7"/>
  <c r="N16" i="7"/>
  <c r="S54" i="7"/>
  <c r="S56" i="7" s="1"/>
  <c r="K30" i="7"/>
  <c r="N25" i="7"/>
  <c r="N31" i="7"/>
  <c r="K31" i="7"/>
  <c r="T41" i="7"/>
  <c r="Q41" i="7"/>
  <c r="N41" i="7"/>
  <c r="K41" i="7"/>
  <c r="K52" i="7"/>
  <c r="T52" i="7"/>
  <c r="Q52" i="7"/>
  <c r="N52" i="7"/>
  <c r="Q50" i="7"/>
  <c r="N50" i="7"/>
  <c r="K50" i="7"/>
  <c r="T50" i="7"/>
  <c r="T47" i="7"/>
  <c r="Q47" i="7"/>
  <c r="N47" i="7"/>
  <c r="K47" i="7"/>
  <c r="T34" i="7"/>
  <c r="Q34" i="7"/>
  <c r="N34" i="7"/>
  <c r="K34" i="7"/>
  <c r="N38" i="7"/>
  <c r="K38" i="7"/>
  <c r="T38" i="7"/>
  <c r="Q38" i="7"/>
  <c r="T28" i="7"/>
  <c r="Q28" i="7"/>
  <c r="N28" i="7"/>
  <c r="K28" i="7"/>
  <c r="K46" i="7"/>
  <c r="T46" i="7"/>
  <c r="Q46" i="7"/>
  <c r="N46" i="7"/>
  <c r="N51" i="7"/>
  <c r="K51" i="7"/>
  <c r="T51" i="7"/>
  <c r="Q51" i="7"/>
  <c r="T49" i="7"/>
  <c r="Q49" i="7"/>
  <c r="N49" i="7"/>
  <c r="K49" i="7"/>
  <c r="Q44" i="7"/>
  <c r="N44" i="7"/>
  <c r="K44" i="7"/>
  <c r="T44" i="7"/>
  <c r="T21" i="7"/>
  <c r="Q21" i="7"/>
  <c r="N21" i="7"/>
  <c r="K21" i="7"/>
  <c r="T14" i="7"/>
  <c r="Q14" i="7"/>
  <c r="N14" i="7"/>
  <c r="K14" i="7"/>
  <c r="K39" i="7"/>
  <c r="T39" i="7"/>
  <c r="Q39" i="7"/>
  <c r="N39" i="7"/>
  <c r="U28" i="6"/>
  <c r="U31" i="6"/>
  <c r="R28" i="6"/>
  <c r="L28" i="6"/>
  <c r="U40" i="6"/>
  <c r="O35" i="6"/>
  <c r="R40" i="6"/>
  <c r="L38" i="6"/>
  <c r="O38" i="6"/>
  <c r="U38" i="6"/>
  <c r="R38" i="6"/>
  <c r="X38" i="6"/>
  <c r="X26" i="6"/>
  <c r="L20" i="6"/>
  <c r="L35" i="6"/>
  <c r="O5" i="6"/>
  <c r="X35" i="6"/>
  <c r="U5" i="6"/>
  <c r="U16" i="6"/>
  <c r="L30" i="6"/>
  <c r="U12" i="6"/>
  <c r="R12" i="6"/>
  <c r="U26" i="6"/>
  <c r="R16" i="6"/>
  <c r="X5" i="6"/>
  <c r="R29" i="6"/>
  <c r="R35" i="6"/>
  <c r="R30" i="6"/>
  <c r="U20" i="6"/>
  <c r="U29" i="6"/>
  <c r="X20" i="6"/>
  <c r="L5" i="6"/>
  <c r="O20" i="6"/>
  <c r="O16" i="6"/>
  <c r="L37" i="6"/>
  <c r="O31" i="6"/>
  <c r="U30" i="6"/>
  <c r="L19" i="6"/>
  <c r="L26" i="6"/>
  <c r="R42" i="6"/>
  <c r="L15" i="6"/>
  <c r="R15" i="6"/>
  <c r="U15" i="6"/>
  <c r="X15" i="6"/>
  <c r="O37" i="6"/>
  <c r="U14" i="6"/>
  <c r="U37" i="6"/>
  <c r="L24" i="6"/>
  <c r="X19" i="6"/>
  <c r="U52" i="6"/>
  <c r="L42" i="6"/>
  <c r="R31" i="6"/>
  <c r="X14" i="6"/>
  <c r="L31" i="6"/>
  <c r="X42" i="6"/>
  <c r="O14" i="6"/>
  <c r="Q54" i="6"/>
  <c r="Q56" i="6" s="1"/>
  <c r="R19" i="6"/>
  <c r="L40" i="6"/>
  <c r="U22" i="6"/>
  <c r="L45" i="6"/>
  <c r="U45" i="6"/>
  <c r="R45" i="6"/>
  <c r="O45" i="6"/>
  <c r="R22" i="6"/>
  <c r="R52" i="6"/>
  <c r="O52" i="6"/>
  <c r="O25" i="6"/>
  <c r="X25" i="6"/>
  <c r="U24" i="6"/>
  <c r="X45" i="6"/>
  <c r="X37" i="6"/>
  <c r="O22" i="6"/>
  <c r="O26" i="6"/>
  <c r="R24" i="6"/>
  <c r="X22" i="6"/>
  <c r="L25" i="6"/>
  <c r="R14" i="6"/>
  <c r="R4" i="6"/>
  <c r="R25" i="6"/>
  <c r="X52" i="6"/>
  <c r="O40" i="6"/>
  <c r="O24" i="6"/>
  <c r="X7" i="6"/>
  <c r="T54" i="6"/>
  <c r="T56" i="6" s="1"/>
  <c r="O7" i="6"/>
  <c r="O4" i="6"/>
  <c r="X4" i="6"/>
  <c r="X41" i="6"/>
  <c r="O41" i="6"/>
  <c r="R41" i="6"/>
  <c r="K54" i="6"/>
  <c r="K56" i="6" s="1"/>
  <c r="L12" i="6"/>
  <c r="R7" i="6"/>
  <c r="N54" i="6"/>
  <c r="N56" i="6" s="1"/>
  <c r="U7" i="6"/>
  <c r="L41" i="6"/>
  <c r="O29" i="6"/>
  <c r="X29" i="6"/>
  <c r="O12" i="6"/>
  <c r="L4" i="6"/>
  <c r="X12" i="6"/>
  <c r="O42" i="6"/>
  <c r="W54" i="6"/>
  <c r="W56" i="6" s="1"/>
  <c r="U49" i="6"/>
  <c r="R49" i="6"/>
  <c r="O49" i="6"/>
  <c r="L49" i="6"/>
  <c r="X49" i="6"/>
  <c r="X47" i="6"/>
  <c r="U47" i="6"/>
  <c r="R47" i="6"/>
  <c r="O47" i="6"/>
  <c r="L47" i="6"/>
  <c r="R50" i="6"/>
  <c r="O50" i="6"/>
  <c r="L50" i="6"/>
  <c r="X50" i="6"/>
  <c r="U50" i="6"/>
  <c r="X48" i="6"/>
  <c r="U48" i="6"/>
  <c r="R48" i="6"/>
  <c r="O48" i="6"/>
  <c r="L48" i="6"/>
  <c r="L39" i="6"/>
  <c r="X39" i="6"/>
  <c r="U39" i="6"/>
  <c r="R39" i="6"/>
  <c r="O39" i="6"/>
  <c r="L46" i="6"/>
  <c r="X46" i="6"/>
  <c r="U46" i="6"/>
  <c r="R46" i="6"/>
  <c r="O46" i="6"/>
  <c r="R44" i="6"/>
  <c r="O44" i="6"/>
  <c r="L44" i="6"/>
  <c r="X44" i="6"/>
  <c r="U44" i="6"/>
  <c r="Q50" i="5"/>
  <c r="Q52" i="5" s="1"/>
  <c r="T50" i="5"/>
  <c r="T52" i="5" s="1"/>
  <c r="N50" i="5"/>
  <c r="N52" i="5" s="1"/>
  <c r="W50" i="5"/>
  <c r="W52" i="5" s="1"/>
  <c r="K50" i="5"/>
  <c r="K52" i="5" s="1"/>
  <c r="U48" i="5"/>
  <c r="X48" i="5"/>
  <c r="R48" i="5"/>
  <c r="L48" i="5"/>
  <c r="O48" i="5"/>
  <c r="U25" i="5"/>
  <c r="O25" i="5"/>
  <c r="R25" i="5"/>
  <c r="L25" i="5"/>
  <c r="R26" i="5"/>
  <c r="O26" i="5"/>
  <c r="U26" i="5"/>
  <c r="X26" i="5"/>
  <c r="L26" i="5"/>
  <c r="U30" i="5"/>
  <c r="X30" i="5"/>
  <c r="R30" i="5"/>
  <c r="L30" i="5"/>
  <c r="O30" i="5"/>
  <c r="U31" i="5"/>
  <c r="X31" i="5"/>
  <c r="L31" i="5"/>
  <c r="R31" i="5"/>
  <c r="O31" i="5"/>
  <c r="X21" i="5"/>
  <c r="U21" i="5"/>
  <c r="R21" i="5"/>
  <c r="O21" i="5"/>
  <c r="L21" i="5"/>
  <c r="X19" i="5"/>
  <c r="U19" i="5"/>
  <c r="U16" i="5"/>
  <c r="O16" i="5"/>
  <c r="R16" i="5"/>
  <c r="L16" i="5"/>
  <c r="X16" i="5"/>
  <c r="O19" i="5"/>
  <c r="L19" i="5"/>
  <c r="O23" i="5"/>
  <c r="R23" i="5"/>
  <c r="U23" i="5"/>
  <c r="L23" i="5"/>
  <c r="X23" i="5"/>
  <c r="R22" i="5"/>
  <c r="X22" i="5"/>
  <c r="O22" i="5"/>
  <c r="U22" i="5"/>
  <c r="L22" i="5"/>
  <c r="L14" i="5"/>
  <c r="X14" i="5"/>
  <c r="O14" i="5"/>
  <c r="R14" i="5"/>
  <c r="U14" i="5"/>
  <c r="U6" i="5"/>
  <c r="X6" i="5"/>
  <c r="U7" i="5"/>
  <c r="R7" i="5"/>
  <c r="O7" i="5"/>
  <c r="L7" i="5"/>
  <c r="R6" i="5"/>
  <c r="O38" i="5"/>
  <c r="O6" i="5"/>
  <c r="X38" i="5"/>
  <c r="L36" i="5"/>
  <c r="U36" i="5"/>
  <c r="O36" i="5"/>
  <c r="R36" i="5"/>
  <c r="X42" i="5"/>
  <c r="X36" i="5"/>
  <c r="L35" i="5"/>
  <c r="U35" i="5"/>
  <c r="L42" i="5"/>
  <c r="U42" i="5"/>
  <c r="X35" i="5"/>
  <c r="O42" i="5"/>
  <c r="O35" i="5"/>
  <c r="L38" i="5"/>
  <c r="U38" i="5"/>
  <c r="O5" i="5"/>
  <c r="L5" i="5"/>
  <c r="X5" i="5"/>
  <c r="U5" i="5"/>
  <c r="R5" i="5"/>
  <c r="U44" i="5"/>
  <c r="R44" i="5"/>
  <c r="O44" i="5"/>
  <c r="X44" i="5"/>
  <c r="L44" i="5"/>
  <c r="O45" i="5"/>
  <c r="R45" i="5"/>
  <c r="L45" i="5"/>
  <c r="U45" i="5"/>
  <c r="X45" i="5"/>
  <c r="R12" i="5"/>
  <c r="U12" i="5"/>
  <c r="O12" i="5"/>
  <c r="L12" i="5"/>
  <c r="X12" i="5"/>
  <c r="X8" i="5"/>
  <c r="R8" i="5"/>
  <c r="U8" i="5"/>
  <c r="O8" i="5"/>
  <c r="L8" i="5"/>
  <c r="O28" i="5"/>
  <c r="L28" i="5"/>
  <c r="X28" i="5"/>
  <c r="U28" i="5"/>
  <c r="R28" i="5"/>
  <c r="X43" i="5"/>
  <c r="U43" i="5"/>
  <c r="R43" i="5"/>
  <c r="O43" i="5"/>
  <c r="L43" i="5"/>
  <c r="R34" i="5"/>
  <c r="O34" i="5"/>
  <c r="L34" i="5"/>
  <c r="X34" i="5"/>
  <c r="U34" i="5"/>
  <c r="O4" i="5"/>
  <c r="R4" i="5"/>
  <c r="L4" i="5"/>
  <c r="U4" i="5"/>
  <c r="X4" i="5"/>
  <c r="L46" i="5"/>
  <c r="O46" i="5"/>
  <c r="R46" i="5"/>
  <c r="U46" i="5"/>
  <c r="X46" i="5"/>
  <c r="R13" i="5"/>
  <c r="O13" i="5"/>
  <c r="L13" i="5"/>
  <c r="X13" i="5"/>
  <c r="U13" i="5"/>
  <c r="L16" i="4"/>
  <c r="O16" i="4"/>
  <c r="R16" i="4"/>
  <c r="U16" i="4"/>
  <c r="X16" i="4"/>
  <c r="X31" i="4" s="1"/>
  <c r="X33" i="4" s="1"/>
  <c r="L17" i="4"/>
  <c r="L31" i="4" s="1"/>
  <c r="L33" i="4" s="1"/>
  <c r="O17" i="4"/>
  <c r="O31" i="4" s="1"/>
  <c r="O33" i="4" s="1"/>
  <c r="R17" i="4"/>
  <c r="U17" i="4"/>
  <c r="X17" i="4"/>
  <c r="L27" i="4"/>
  <c r="O27" i="4"/>
  <c r="R27" i="4"/>
  <c r="U27" i="4"/>
  <c r="X27" i="4"/>
  <c r="L28" i="4"/>
  <c r="O28" i="4"/>
  <c r="R28" i="4"/>
  <c r="U28" i="4"/>
  <c r="X28" i="4"/>
  <c r="L29" i="4"/>
  <c r="O29" i="4"/>
  <c r="R29" i="4"/>
  <c r="U29" i="4"/>
  <c r="X29" i="4"/>
  <c r="K31" i="4"/>
  <c r="K33" i="4" s="1"/>
  <c r="N31" i="4"/>
  <c r="N33" i="4" s="1"/>
  <c r="Q31" i="4"/>
  <c r="Q33" i="4" s="1"/>
  <c r="T31" i="4"/>
  <c r="T33" i="4" s="1"/>
  <c r="W31" i="4"/>
  <c r="W33" i="4" s="1"/>
  <c r="R31" i="4"/>
  <c r="R33" i="4" s="1"/>
  <c r="U31" i="4"/>
  <c r="U33" i="4" s="1"/>
  <c r="K37" i="2"/>
  <c r="K39" i="2" s="1"/>
  <c r="N37" i="2"/>
  <c r="N39" i="2" s="1"/>
  <c r="Q37" i="2"/>
  <c r="Q39" i="2" s="1"/>
  <c r="T37" i="2"/>
  <c r="T39" i="2" s="1"/>
  <c r="W37" i="2"/>
  <c r="W39" i="2" s="1"/>
  <c r="L37" i="2"/>
  <c r="L39" i="2" s="1"/>
  <c r="O37" i="2"/>
  <c r="O39" i="2" s="1"/>
  <c r="R37" i="2"/>
  <c r="R39" i="2" s="1"/>
  <c r="U37" i="2"/>
  <c r="U39" i="2" s="1"/>
  <c r="X37" i="2"/>
  <c r="X39" i="2" s="1"/>
  <c r="T33" i="3"/>
  <c r="T35" i="3" s="1"/>
  <c r="U33" i="3"/>
  <c r="U35" i="3" s="1"/>
  <c r="K33" i="3"/>
  <c r="K35" i="3" s="1"/>
  <c r="N33" i="3"/>
  <c r="N35" i="3" s="1"/>
  <c r="Q33" i="3"/>
  <c r="Q35" i="3" s="1"/>
  <c r="L33" i="3"/>
  <c r="L35" i="3" s="1"/>
  <c r="O33" i="3"/>
  <c r="O35" i="3" s="1"/>
  <c r="R33" i="3"/>
  <c r="R35" i="3" s="1"/>
  <c r="N33" i="1"/>
  <c r="N35" i="1" s="1"/>
  <c r="U33" i="1"/>
  <c r="U35" i="1" s="1"/>
  <c r="R33" i="1"/>
  <c r="R35" i="1" s="1"/>
  <c r="Q33" i="1"/>
  <c r="Q35" i="1" s="1"/>
  <c r="L33" i="1"/>
  <c r="L35" i="1" s="1"/>
  <c r="T33" i="1"/>
  <c r="T35" i="1" s="1"/>
  <c r="O33" i="1"/>
  <c r="O35" i="1" s="1"/>
  <c r="K33" i="1"/>
  <c r="K35" i="1" s="1"/>
  <c r="X50" i="5" l="1"/>
  <c r="E4" i="28"/>
  <c r="D34" i="29"/>
  <c r="D13" i="29"/>
  <c r="D43" i="29"/>
  <c r="D24" i="29"/>
  <c r="B11" i="20"/>
  <c r="B18" i="20"/>
  <c r="B4" i="20"/>
  <c r="K54" i="7"/>
  <c r="K56" i="7" s="1"/>
  <c r="N54" i="7"/>
  <c r="N56" i="7" s="1"/>
  <c r="Q54" i="7"/>
  <c r="Q56" i="7" s="1"/>
  <c r="T54" i="7"/>
  <c r="T56" i="7" s="1"/>
  <c r="O54" i="6"/>
  <c r="O56" i="6" s="1"/>
  <c r="U54" i="6"/>
  <c r="U56" i="6" s="1"/>
  <c r="R54" i="6"/>
  <c r="R56" i="6" s="1"/>
  <c r="L54" i="6"/>
  <c r="L56" i="6" s="1"/>
  <c r="X54" i="6"/>
  <c r="X56" i="6" s="1"/>
  <c r="R50" i="5"/>
  <c r="R52" i="5" s="1"/>
  <c r="U50" i="5"/>
  <c r="O50" i="5"/>
  <c r="O52" i="5" s="1"/>
  <c r="L50" i="5"/>
  <c r="L52" i="5" s="1"/>
  <c r="U52" i="5"/>
  <c r="X52" i="5"/>
  <c r="O4" i="29" l="1"/>
  <c r="O2" i="29"/>
  <c r="O5" i="29"/>
  <c r="O5" i="20"/>
  <c r="O4" i="20"/>
  <c r="E4" i="25"/>
  <c r="D3" i="21"/>
</calcChain>
</file>

<file path=xl/sharedStrings.xml><?xml version="1.0" encoding="utf-8"?>
<sst xmlns="http://schemas.openxmlformats.org/spreadsheetml/2006/main" count="5349" uniqueCount="947">
  <si>
    <t>CANONICAL PRICING WORKBOOK</t>
  </si>
  <si>
    <t>This file is used by the BB pricing app and internal Excel solvers.</t>
  </si>
  <si>
    <t>Do NOT create numbered versions.</t>
  </si>
  <si>
    <t>Version history is managed via storage.</t>
  </si>
  <si>
    <t>Season</t>
  </si>
  <si>
    <t>Category</t>
  </si>
  <si>
    <t>Flower</t>
  </si>
  <si>
    <t>Retail Price</t>
  </si>
  <si>
    <t>Avg. WS Price</t>
  </si>
  <si>
    <t>MVFC</t>
  </si>
  <si>
    <t>Potomac</t>
  </si>
  <si>
    <t>SP Guess</t>
  </si>
  <si>
    <t>USDA W/S</t>
  </si>
  <si>
    <t>Global Rose</t>
  </si>
  <si>
    <t>Danisa's</t>
  </si>
  <si>
    <t>Faire</t>
  </si>
  <si>
    <t>W/S Flowers.net</t>
  </si>
  <si>
    <t>MI FF</t>
  </si>
  <si>
    <t>Horst Flowers</t>
  </si>
  <si>
    <t>ASCFG info</t>
  </si>
  <si>
    <t>retail markup =</t>
  </si>
  <si>
    <t>Early Spring</t>
  </si>
  <si>
    <t>1 - Focal</t>
  </si>
  <si>
    <t>Tulip - Double</t>
  </si>
  <si>
    <t>Tulip - French</t>
  </si>
  <si>
    <t>Tulip - Regular</t>
  </si>
  <si>
    <t>2 - Foundation</t>
  </si>
  <si>
    <t>Anemone</t>
  </si>
  <si>
    <t>Daffodil (single large flower)</t>
  </si>
  <si>
    <t>Orlaya</t>
  </si>
  <si>
    <t>Early Spring, Late Spring</t>
  </si>
  <si>
    <t>Poppy - Icelandic (M-L)</t>
  </si>
  <si>
    <t>Ranunculus</t>
  </si>
  <si>
    <t>3 - Filler</t>
  </si>
  <si>
    <t>Daffodil (spray form)</t>
  </si>
  <si>
    <t>Hellebore</t>
  </si>
  <si>
    <t>Pieris</t>
  </si>
  <si>
    <t>Garden Rose</t>
  </si>
  <si>
    <t>Duetzia</t>
  </si>
  <si>
    <t>Saponaria</t>
  </si>
  <si>
    <t>Stock</t>
  </si>
  <si>
    <t>4 - Floater</t>
  </si>
  <si>
    <t>Agrostemma</t>
  </si>
  <si>
    <t>Bachelor's Buttons</t>
  </si>
  <si>
    <t>Iceland poppy (small)</t>
  </si>
  <si>
    <t>Nigella</t>
  </si>
  <si>
    <t>Summer, Fall</t>
  </si>
  <si>
    <t>Dahlia (L)</t>
  </si>
  <si>
    <t>Sunflower (M-L)</t>
  </si>
  <si>
    <t>5 - Finisher</t>
  </si>
  <si>
    <t>Fruit branch (e.g., crabapple)</t>
  </si>
  <si>
    <t>6 - Foliage</t>
  </si>
  <si>
    <t>Privet</t>
  </si>
  <si>
    <t>Euonymous</t>
  </si>
  <si>
    <t>Zinnia (XL)</t>
  </si>
  <si>
    <t>Late Spring</t>
  </si>
  <si>
    <t>Allium</t>
  </si>
  <si>
    <t>Astilbe - Dark Pink</t>
  </si>
  <si>
    <t>Astilbe - Pale Pink</t>
  </si>
  <si>
    <t>Bells of Ireland</t>
  </si>
  <si>
    <t>Bleeding Heart</t>
  </si>
  <si>
    <t>Bupleurum</t>
  </si>
  <si>
    <t>Campanula</t>
  </si>
  <si>
    <t>Dogwood Branch</t>
  </si>
  <si>
    <t>Fern</t>
  </si>
  <si>
    <t>Geum</t>
  </si>
  <si>
    <t>Godetia</t>
  </si>
  <si>
    <t>Larkspur</t>
  </si>
  <si>
    <t>Lilac</t>
  </si>
  <si>
    <t>Mock Orange</t>
  </si>
  <si>
    <t>Peony - Coral Charm</t>
  </si>
  <si>
    <t>Peony - Dark Pink</t>
  </si>
  <si>
    <t>Peony - Pale Pink/Blush</t>
  </si>
  <si>
    <t>Peony - Pink</t>
  </si>
  <si>
    <t>Peony - White</t>
  </si>
  <si>
    <t>Spirea</t>
  </si>
  <si>
    <t>Late Spring, Summer</t>
  </si>
  <si>
    <t>Rudbeckia</t>
  </si>
  <si>
    <t>Scabiosa (Fama)</t>
  </si>
  <si>
    <t>Late Spring, Summer, Fall</t>
  </si>
  <si>
    <t>Queen Anne's / Ammi</t>
  </si>
  <si>
    <t>Snapdragon (S)</t>
  </si>
  <si>
    <t>Celosia</t>
  </si>
  <si>
    <t>Dahlia (M)</t>
  </si>
  <si>
    <t>Dahlia (S)</t>
  </si>
  <si>
    <t>Echinacea</t>
  </si>
  <si>
    <t>Lisianthus</t>
  </si>
  <si>
    <t>Marigold</t>
  </si>
  <si>
    <t>Strawflower</t>
  </si>
  <si>
    <t>Sunflower (S)</t>
  </si>
  <si>
    <t>Thistle</t>
  </si>
  <si>
    <t>Zinnia (M-L)</t>
  </si>
  <si>
    <t>Daucus / Dara</t>
  </si>
  <si>
    <t>Scabiosa (Scoop)</t>
  </si>
  <si>
    <t>Smokebush flower</t>
  </si>
  <si>
    <t>Feverfew</t>
  </si>
  <si>
    <t>Yarrow</t>
  </si>
  <si>
    <t>Statice</t>
  </si>
  <si>
    <t>Brain Celosia</t>
  </si>
  <si>
    <t>Greek Oregano</t>
  </si>
  <si>
    <t>Hydrangea (M)</t>
  </si>
  <si>
    <t>Indigo</t>
  </si>
  <si>
    <t>Tweedia</t>
  </si>
  <si>
    <t>Verbena</t>
  </si>
  <si>
    <t xml:space="preserve">Scabiosa  </t>
  </si>
  <si>
    <t>Ageratum</t>
  </si>
  <si>
    <t>Cosmos</t>
  </si>
  <si>
    <t>Fennel</t>
  </si>
  <si>
    <t>Gomphrena</t>
  </si>
  <si>
    <t>Scabiosa Pod</t>
  </si>
  <si>
    <t>Zinnia (XS)</t>
  </si>
  <si>
    <t>Rudbeckia, species</t>
  </si>
  <si>
    <t>Queen Anne's / Ammi, small</t>
  </si>
  <si>
    <t>Daucus / Dara, small</t>
  </si>
  <si>
    <t>Early Spring, Late Spring, Fall</t>
  </si>
  <si>
    <t>Mint</t>
  </si>
  <si>
    <t>Early Spring, Late Spring, Summer, Fall</t>
  </si>
  <si>
    <t>Papyrus</t>
  </si>
  <si>
    <t>Lupine</t>
  </si>
  <si>
    <t>Cress</t>
  </si>
  <si>
    <t>Delphinium</t>
  </si>
  <si>
    <t>Nandina berries</t>
  </si>
  <si>
    <t>Snapdragon (L)</t>
  </si>
  <si>
    <t>Summer</t>
  </si>
  <si>
    <t>Blackberry berries (unripe)</t>
  </si>
  <si>
    <t>Amaranth</t>
  </si>
  <si>
    <t>Basil (flowering)</t>
  </si>
  <si>
    <t>Frosted Explosion Grass</t>
  </si>
  <si>
    <t>Hyacinth bean</t>
  </si>
  <si>
    <t>Jewels of Opar (3x)</t>
  </si>
  <si>
    <t>Mint (flowering)</t>
  </si>
  <si>
    <t>Mint (foliage)</t>
  </si>
  <si>
    <t>Raspberry</t>
  </si>
  <si>
    <t>Snowball Foliage</t>
  </si>
  <si>
    <t>Snowberry Foliage</t>
  </si>
  <si>
    <t>Basil (foliage)</t>
  </si>
  <si>
    <t>Eucalyptus</t>
  </si>
  <si>
    <t>Honeysuckle</t>
  </si>
  <si>
    <t>Geranium</t>
  </si>
  <si>
    <t>Smokebush</t>
  </si>
  <si>
    <t>Viburnum</t>
  </si>
  <si>
    <t>Nandina foliage</t>
  </si>
  <si>
    <t>Summer/Fall</t>
  </si>
  <si>
    <t>Focals</t>
  </si>
  <si>
    <t>Foundations</t>
  </si>
  <si>
    <t>Filler</t>
  </si>
  <si>
    <t>Floater</t>
  </si>
  <si>
    <t>Finisher</t>
  </si>
  <si>
    <t>Foliage</t>
  </si>
  <si>
    <t>(Multiple Items)</t>
  </si>
  <si>
    <t>total # of regular market bouquets desired =</t>
  </si>
  <si>
    <t>Row Labels</t>
  </si>
  <si>
    <t>Calculated quantity of flowers in bouquet</t>
  </si>
  <si>
    <t>total number of stems used</t>
  </si>
  <si>
    <t>average wholesale price for category</t>
  </si>
  <si>
    <t>Availability (# stems)</t>
  </si>
  <si>
    <t># stems leftover</t>
  </si>
  <si>
    <t>focal</t>
  </si>
  <si>
    <t>foundation</t>
  </si>
  <si>
    <t>filler</t>
  </si>
  <si>
    <t>floater</t>
  </si>
  <si>
    <t>finisher</t>
  </si>
  <si>
    <t>foliage</t>
  </si>
  <si>
    <t>1. Fill in the cells in pink. Do NOT adjust any other values</t>
  </si>
  <si>
    <t>2. Run "solver".  Go to the "Data" tab.</t>
  </si>
  <si>
    <t>3. Click on cell D4-D9 (it is a merged cell)</t>
  </si>
  <si>
    <t>4.  In the upper right, click on "Analysis Tools". Note:  if you see "Solver" in the upper right, you can skip this step.</t>
  </si>
  <si>
    <t>5.  Check the box for "Solver."</t>
  </si>
  <si>
    <t>6. Hit "Solve" in the lower right</t>
  </si>
  <si>
    <t>FOCAL</t>
  </si>
  <si>
    <t>FOUNDATION</t>
  </si>
  <si>
    <t>FILLER</t>
  </si>
  <si>
    <t>FLOATER</t>
  </si>
  <si>
    <t>FINISHER</t>
  </si>
  <si>
    <t>FOLIAGE</t>
  </si>
  <si>
    <t>Make this when…</t>
  </si>
  <si>
    <t>Never, Ever:</t>
  </si>
  <si>
    <t>tulip (large)</t>
  </si>
  <si>
    <t>small tulip</t>
  </si>
  <si>
    <t>anemone</t>
  </si>
  <si>
    <t>daffodil</t>
  </si>
  <si>
    <t>hellebore</t>
  </si>
  <si>
    <t>orlaya</t>
  </si>
  <si>
    <t>poppy</t>
  </si>
  <si>
    <t>Daffodil Spray</t>
  </si>
  <si>
    <t>Bach Buttons</t>
  </si>
  <si>
    <t>small poppy</t>
  </si>
  <si>
    <t>4 - Float</t>
  </si>
  <si>
    <t>Spring -- Light or Muted</t>
  </si>
  <si>
    <t>Peaches &amp; Cream</t>
  </si>
  <si>
    <t>Warm: peach, cream, white</t>
  </si>
  <si>
    <t xml:space="preserve"> Apricot Parrot, Super Parrot, Charming Beauty</t>
  </si>
  <si>
    <t>Clearwater</t>
  </si>
  <si>
    <t>White</t>
  </si>
  <si>
    <t>white, salmon</t>
  </si>
  <si>
    <t>white</t>
  </si>
  <si>
    <t>peach, white</t>
  </si>
  <si>
    <t xml:space="preserve"> Salmon, cream, white</t>
  </si>
  <si>
    <t>peach, white, pale yellow</t>
  </si>
  <si>
    <t>Easter Basket</t>
  </si>
  <si>
    <t>muted:  pink, peach, yellow, pale purple</t>
  </si>
  <si>
    <t>Foxtrot, Apricot Parrot, Design Impression, Double Price, Charming Beauty, Blue Diamond</t>
  </si>
  <si>
    <t>Pastel Pink, Pastel Purple</t>
  </si>
  <si>
    <t>pink</t>
  </si>
  <si>
    <t>peach, pale yellow, light pink</t>
  </si>
  <si>
    <t>Chamallow, Salmon, cream, purple jean</t>
  </si>
  <si>
    <t>peach, light pink, pale pale yellow, purple</t>
  </si>
  <si>
    <t>Peach, light pink, pale yellow</t>
  </si>
  <si>
    <t>Sugar Plum Fairy</t>
  </si>
  <si>
    <t>Warm:  Plum, purple, white</t>
  </si>
  <si>
    <t>Blue Diamond, Super Parrot, Double Price?</t>
  </si>
  <si>
    <t>Pastel purple</t>
  </si>
  <si>
    <t>purple</t>
  </si>
  <si>
    <t>Purple Jean, Violet</t>
  </si>
  <si>
    <t>pale purple</t>
  </si>
  <si>
    <t>Semi Precious</t>
  </si>
  <si>
    <t>muted pinks and purples</t>
  </si>
  <si>
    <t>Foxtrot, Pink Vision Parrot, Blue Diamond</t>
  </si>
  <si>
    <t>Pale blue, pale pink</t>
  </si>
  <si>
    <t>Chamallow, Purple Jean</t>
  </si>
  <si>
    <t>light blue, pink</t>
  </si>
  <si>
    <t xml:space="preserve">Light pink </t>
  </si>
  <si>
    <t>blue</t>
  </si>
  <si>
    <t>Champagne Brunch</t>
  </si>
  <si>
    <t>Warm:  Yellow, peach, pale pink, white/cream</t>
  </si>
  <si>
    <t>Foxtrot, Apricot Parrot, Design Impression, Super Parrot, Charming Beauty</t>
  </si>
  <si>
    <t>Chamallow, Salmon, white, cream</t>
  </si>
  <si>
    <t>peach, light pink, pale yellow</t>
  </si>
  <si>
    <t xml:space="preserve">Mellow Unicorn </t>
  </si>
  <si>
    <t>warm/cool mix:  Pink, salmon, peach, blue/purple</t>
  </si>
  <si>
    <t>Foxtrot, blue diamond, Amazing Grace, Apricot Parrot, Design Impression, Pink Vision Parrot, Double Price</t>
  </si>
  <si>
    <t>Pastel pink or Pastel purple</t>
  </si>
  <si>
    <t>peach, light pink</t>
  </si>
  <si>
    <t xml:space="preserve">Chamallow, Salmon </t>
  </si>
  <si>
    <t>peach, light pink, pale purple</t>
  </si>
  <si>
    <t>light pink, peach</t>
  </si>
  <si>
    <t>light blue</t>
  </si>
  <si>
    <t>Butter, biscuits and Honey</t>
  </si>
  <si>
    <t>Warm:  Pale Yellow, gold, white</t>
  </si>
  <si>
    <t xml:space="preserve">Charming Beauty, Super Parrot </t>
  </si>
  <si>
    <t xml:space="preserve"> pale yellow,  white</t>
  </si>
  <si>
    <t>Cream, gold, white</t>
  </si>
  <si>
    <t>peach, pale yellow, white</t>
  </si>
  <si>
    <t>Peach, pale yellow</t>
  </si>
  <si>
    <t>Spring -- Bright or Deep</t>
  </si>
  <si>
    <t>Birthday cake</t>
  </si>
  <si>
    <t>Hot:  pink, gold, orange, white</t>
  </si>
  <si>
    <t>Foxtrot, Amazing Grace, Dordogne, Pink Vision Parrot, Super Parrot, Yosemite</t>
  </si>
  <si>
    <t>Clearwater, Apricot Impression</t>
  </si>
  <si>
    <t>Pink, orange, bright yellow,  white</t>
  </si>
  <si>
    <t>pink, gold, orange</t>
  </si>
  <si>
    <t>white, pink</t>
  </si>
  <si>
    <t xml:space="preserve"> pink</t>
  </si>
  <si>
    <t>orange, pink, white, gold</t>
  </si>
  <si>
    <t>Candy Crush</t>
  </si>
  <si>
    <t>Warm or cool: all pinks</t>
  </si>
  <si>
    <t>Foxtrot, Amazing Grace, Dordogne, Pink Vision Parrot, Avignon, Yosemite</t>
  </si>
  <si>
    <t>Bright pink</t>
  </si>
  <si>
    <t>Bonbon, Barby, Pink, Rose</t>
  </si>
  <si>
    <t>all pinks</t>
  </si>
  <si>
    <t>Cover Grrl</t>
  </si>
  <si>
    <t>Cool or hot: Red, pinks</t>
  </si>
  <si>
    <t>Red Princess, Uncle Tom, Yosemite, Amazing Grace, Dordogne, Pink Vision Parrot, Avignon</t>
  </si>
  <si>
    <t>Red, Bright Pink</t>
  </si>
  <si>
    <t>none</t>
  </si>
  <si>
    <t xml:space="preserve">Pink </t>
  </si>
  <si>
    <t>Red, Bonbon, Barby, Pink, Rose</t>
  </si>
  <si>
    <t>Rainbow Sherbet</t>
  </si>
  <si>
    <t>Hot:  peach, orange, pink, white</t>
  </si>
  <si>
    <t>Dordogne!!!Foxtrot, Menton, Amazing Grace, Avignon, Super Parrot</t>
  </si>
  <si>
    <t>Pink, orange, white</t>
  </si>
  <si>
    <t>Pink, Rose, Orange, White</t>
  </si>
  <si>
    <t>pink, white</t>
  </si>
  <si>
    <t>pink, orange</t>
  </si>
  <si>
    <t>Grand Total</t>
  </si>
  <si>
    <t>Fruit Salad</t>
  </si>
  <si>
    <t>Cool or hot: bright multi</t>
  </si>
  <si>
    <t>Red Princess, Uncle Tom, Yosemite, Dordogne, Blue Diamond</t>
  </si>
  <si>
    <t>Apricot Impresion</t>
  </si>
  <si>
    <t>Red</t>
  </si>
  <si>
    <t>pink, orange, bright yellow, white</t>
  </si>
  <si>
    <t>Bonbon, Barby, Pink, Rose, Red, Orange, Purple Jean</t>
  </si>
  <si>
    <t xml:space="preserve">pink </t>
  </si>
  <si>
    <t>pink, orange, gold, white</t>
  </si>
  <si>
    <t>Electric Unicorn</t>
  </si>
  <si>
    <t>Hot and Cool:  pink, orange, blue/purple</t>
  </si>
  <si>
    <t>Yosemite, Foxtrot, Amazing Grace, Dordogne, Pink Vision Parrot, Avignon, Blue Diamond</t>
  </si>
  <si>
    <t>Blue</t>
  </si>
  <si>
    <t>pink, orange,  white</t>
  </si>
  <si>
    <t>pink, rose, orange</t>
  </si>
  <si>
    <t>light purple, pink</t>
  </si>
  <si>
    <t>pink, light orange</t>
  </si>
  <si>
    <t>Firecracker</t>
  </si>
  <si>
    <t>Hot:  Red, bright pink, orange, gold</t>
  </si>
  <si>
    <t>Red Princess, Uncle Tom, Avignon!!, Yosemite, Amazing Grace, Dordogne</t>
  </si>
  <si>
    <t>Red, Bright pink</t>
  </si>
  <si>
    <t>yellow, orange</t>
  </si>
  <si>
    <t>Red, orange, gold</t>
  </si>
  <si>
    <t>warm pink</t>
  </si>
  <si>
    <t>orange, gold</t>
  </si>
  <si>
    <t>Northern Lights</t>
  </si>
  <si>
    <t>Cool:  pink and blue</t>
  </si>
  <si>
    <t>Foxtrot, Amazing Grace, Pink Vision Parrot, Yosemite, Blue Diamond</t>
  </si>
  <si>
    <t>Dark Blue, Bright Pink</t>
  </si>
  <si>
    <t>1. Fill in the cells in lavender. Do NOT adjust any other values</t>
  </si>
  <si>
    <t>Peony</t>
  </si>
  <si>
    <t>Tulip</t>
  </si>
  <si>
    <t>Astilbe</t>
  </si>
  <si>
    <t>Rose</t>
  </si>
  <si>
    <t>Poppy</t>
  </si>
  <si>
    <t>Fama Scabiosa</t>
  </si>
  <si>
    <t>Snapdragon</t>
  </si>
  <si>
    <t>Mockorange</t>
  </si>
  <si>
    <t>Bachelor Button</t>
  </si>
  <si>
    <t>Scabiosa</t>
  </si>
  <si>
    <t>Iceland Poppy (S)</t>
  </si>
  <si>
    <t>Dogwood</t>
  </si>
  <si>
    <t>Blushing Beauty</t>
  </si>
  <si>
    <t>salmon, pale pink, white/cream</t>
  </si>
  <si>
    <t>pale multi</t>
  </si>
  <si>
    <t>the hellebores and the purple ranunculus overlap</t>
  </si>
  <si>
    <t>Plum, purple, white</t>
  </si>
  <si>
    <t>Yellow, peach, blush, white/cream</t>
  </si>
  <si>
    <t>Pink, salmon, peach, soft yellow, blue/purple</t>
  </si>
  <si>
    <t>pink, yellow, orange</t>
  </si>
  <si>
    <t>add white</t>
  </si>
  <si>
    <t>Red, pink,</t>
  </si>
  <si>
    <t>peach, orange, pink, white</t>
  </si>
  <si>
    <t>Red, bright pink, orange, gold</t>
  </si>
  <si>
    <t>the Coral Charm peonies and Rudbeckia overlap</t>
  </si>
  <si>
    <t>Sunkissed</t>
  </si>
  <si>
    <t>Salmon and Gold</t>
  </si>
  <si>
    <t>No</t>
  </si>
  <si>
    <t>Coral Charm</t>
  </si>
  <si>
    <t xml:space="preserve">Apricot, Salmon </t>
  </si>
  <si>
    <t>Dark Salmon, Gold</t>
  </si>
  <si>
    <t>Dark Pink</t>
  </si>
  <si>
    <t>Apricot, Salmon</t>
  </si>
  <si>
    <t>Peach, coral</t>
  </si>
  <si>
    <t>Goldilocks, any gold</t>
  </si>
  <si>
    <t>Stox Champagne</t>
  </si>
  <si>
    <t>mini daisy</t>
  </si>
  <si>
    <t>Yes</t>
  </si>
  <si>
    <t>Peach</t>
  </si>
  <si>
    <t>peach</t>
  </si>
  <si>
    <t>Coral, peach</t>
  </si>
  <si>
    <t>yes</t>
  </si>
  <si>
    <t>5 - Filler</t>
  </si>
  <si>
    <t>Delphinium FINISHER!</t>
  </si>
  <si>
    <t>float</t>
  </si>
  <si>
    <t>1. Fill in the cells in yellow. Do NOT adjust any other values</t>
  </si>
  <si>
    <t>Echo White</t>
  </si>
  <si>
    <t>Corelli Apricot</t>
  </si>
  <si>
    <t>Nightengale (deep pink)</t>
  </si>
  <si>
    <t>Chroma Yellow</t>
  </si>
  <si>
    <t>Corelli Rose (med pink)</t>
  </si>
  <si>
    <t>Doublini (white)</t>
  </si>
  <si>
    <t>Voyage (lt. apricot)</t>
  </si>
  <si>
    <t>Celeb Madonna (lt + med. pink)</t>
  </si>
  <si>
    <t>Blue??</t>
  </si>
  <si>
    <t>Sunflower</t>
  </si>
  <si>
    <t>Dahlia</t>
  </si>
  <si>
    <t>Zinnia (M)</t>
  </si>
  <si>
    <t>Plume Celosia</t>
  </si>
  <si>
    <t>Daisy</t>
  </si>
  <si>
    <t>Hydrangea</t>
  </si>
  <si>
    <t>Frosted Explosion</t>
  </si>
  <si>
    <t>Jewels of Opar</t>
  </si>
  <si>
    <t>Summer Light</t>
  </si>
  <si>
    <t>cream Chamallow</t>
  </si>
  <si>
    <t>Lt. pink, Benary lilac</t>
  </si>
  <si>
    <t>CAL, RRA, Lavenders</t>
  </si>
  <si>
    <t>Pink, lilac, QLR</t>
  </si>
  <si>
    <t xml:space="preserve"> Pinks</t>
  </si>
  <si>
    <t>Celeb Madonna, Nightengale, Light purple</t>
  </si>
  <si>
    <t>Pink, warm purple</t>
  </si>
  <si>
    <t xml:space="preserve">Rose </t>
  </si>
  <si>
    <t>Cool pink</t>
  </si>
  <si>
    <t>Cupcake Pink</t>
  </si>
  <si>
    <t>Light purple</t>
  </si>
  <si>
    <t>Medium Pink</t>
  </si>
  <si>
    <t>Butter, Biscuits &amp; Honey</t>
  </si>
  <si>
    <t>White Lite, White Nite, Orange</t>
  </si>
  <si>
    <t>Golden Hour</t>
  </si>
  <si>
    <t>White, Cornel Bronze</t>
  </si>
  <si>
    <t>White Lite, White Nite, Gold</t>
  </si>
  <si>
    <t>Golden Hour, Creamy Yellow, QLO, QLP</t>
  </si>
  <si>
    <t>Yellow</t>
  </si>
  <si>
    <t>Cream (Yellow), White</t>
  </si>
  <si>
    <t>Goldilocks</t>
  </si>
  <si>
    <t>Pale Yellow</t>
  </si>
  <si>
    <t>Gold</t>
  </si>
  <si>
    <t>Limelight</t>
  </si>
  <si>
    <t>Cream, White</t>
  </si>
  <si>
    <t>Light pink, peach, cream</t>
  </si>
  <si>
    <t>White Lite, White Nite</t>
  </si>
  <si>
    <t>Pale Pink, Light Salmon, Golden Hour</t>
  </si>
  <si>
    <t>CAL, RRA, peach</t>
  </si>
  <si>
    <t>Pale Pink, Light Salmon, Golden Hour, QLO, QLP</t>
  </si>
  <si>
    <t>Gold, soft pink</t>
  </si>
  <si>
    <t>Yellow, Peach</t>
  </si>
  <si>
    <t>Champagne, Light Pink, Apricot, Cream (Yellow)</t>
  </si>
  <si>
    <t>Light Pink, White</t>
  </si>
  <si>
    <t>Apricot</t>
  </si>
  <si>
    <t>Cream, White, Light Pink</t>
  </si>
  <si>
    <t>Light Salmon</t>
  </si>
  <si>
    <t>Oklahoma salmon zinnias are available</t>
  </si>
  <si>
    <t>Pink, salmon, blue</t>
  </si>
  <si>
    <t xml:space="preserve">Lt. Blue </t>
  </si>
  <si>
    <t>Pink, Light Salmon</t>
  </si>
  <si>
    <t>other clear pink, salmon</t>
  </si>
  <si>
    <r>
      <rPr>
        <b/>
        <sz val="12"/>
        <color theme="1"/>
        <rFont val="Calibri"/>
        <family val="2"/>
        <scheme val="minor"/>
      </rPr>
      <t>Oklahoma Salmon</t>
    </r>
    <r>
      <rPr>
        <sz val="12"/>
        <color theme="1"/>
        <rFont val="Calibri"/>
        <family val="2"/>
        <scheme val="minor"/>
      </rPr>
      <t>, Oklahoma Pink</t>
    </r>
  </si>
  <si>
    <t>Medium Pink (not fuschia)</t>
  </si>
  <si>
    <t>Salmon</t>
  </si>
  <si>
    <t>Champagne,  Pink, Apricot</t>
  </si>
  <si>
    <t>Blue (light)</t>
  </si>
  <si>
    <t>Pink, Orange?</t>
  </si>
  <si>
    <t>Pink, Orange, Salmon</t>
  </si>
  <si>
    <t>Blue, pink</t>
  </si>
  <si>
    <t>Rose, light blue</t>
  </si>
  <si>
    <t>Salmon, pink</t>
  </si>
  <si>
    <t>2 -Foundation</t>
  </si>
  <si>
    <t>Nightengale lisis are available</t>
  </si>
  <si>
    <t>Rose All Day</t>
  </si>
  <si>
    <t>muted pink</t>
  </si>
  <si>
    <t>pale pinks</t>
  </si>
  <si>
    <t>CAL, RRA</t>
  </si>
  <si>
    <t>pale pinks, QLR</t>
  </si>
  <si>
    <r>
      <t xml:space="preserve">Pink, </t>
    </r>
    <r>
      <rPr>
        <b/>
        <sz val="12"/>
        <color theme="1"/>
        <rFont val="Calibri"/>
        <family val="2"/>
        <scheme val="minor"/>
      </rPr>
      <t>Nightengale</t>
    </r>
  </si>
  <si>
    <t>pale pink</t>
  </si>
  <si>
    <t>Pink</t>
  </si>
  <si>
    <t xml:space="preserve"> No</t>
  </si>
  <si>
    <t>Burgundy</t>
  </si>
  <si>
    <t>Summer Bright</t>
  </si>
  <si>
    <t>pink, gold, orange, white</t>
  </si>
  <si>
    <t>Orange</t>
  </si>
  <si>
    <t>Benary Bright Pink, Benary Orange</t>
  </si>
  <si>
    <t>Doris Duke, other clear pink, orange</t>
  </si>
  <si>
    <t>Bright Pink, Orange, Gold</t>
  </si>
  <si>
    <t>Bright pink (not purple-y), orange</t>
  </si>
  <si>
    <t>Bright gold</t>
  </si>
  <si>
    <t>White, Corelli Rose?</t>
  </si>
  <si>
    <t>Pink, orange</t>
  </si>
  <si>
    <t>Pink, Orange</t>
  </si>
  <si>
    <t>Bright Pink, Orange</t>
  </si>
  <si>
    <t>White, pink</t>
  </si>
  <si>
    <t>pink, Coral, blue</t>
  </si>
  <si>
    <t xml:space="preserve"> Benary Bright Pink, Coral, bright salmon </t>
  </si>
  <si>
    <t>Doris Duke, other clear pink, salmon</t>
  </si>
  <si>
    <t xml:space="preserve"> Pink, Coral</t>
  </si>
  <si>
    <t>Bright pink (not purple-y), orange, salmon</t>
  </si>
  <si>
    <t>pink, light blue</t>
  </si>
  <si>
    <t>pink, orange?</t>
  </si>
  <si>
    <t>Pink, coral, orange</t>
  </si>
  <si>
    <t>Pink, Coral</t>
  </si>
  <si>
    <t>Pink, blue</t>
  </si>
  <si>
    <t xml:space="preserve"> Pink, Coral, Gold</t>
  </si>
  <si>
    <t>Benary Bright Pink, all pinks, Benary Red</t>
  </si>
  <si>
    <t>Cornel, Doris Duke, Magenta Tubular, other clear pink</t>
  </si>
  <si>
    <t>All pinks, Benary Red</t>
  </si>
  <si>
    <t>All pinks, Red</t>
  </si>
  <si>
    <t>red</t>
  </si>
  <si>
    <t>Pink, red</t>
  </si>
  <si>
    <t>Pink, Red</t>
  </si>
  <si>
    <t>All pinks</t>
  </si>
  <si>
    <t>Pinks, orange</t>
  </si>
  <si>
    <t>orange, Doris Duke,  other clear pink</t>
  </si>
  <si>
    <t>Red, bright pink, orange, purple</t>
  </si>
  <si>
    <t>Benary Bright pink, Benary orange, Benary purple, Benary red</t>
  </si>
  <si>
    <t>Purple-pink spiky, Hula, Thomas Edison, Purple Keeper, Magenta Tubular, Cornel, Fabulous</t>
  </si>
  <si>
    <t>Bright pink, Bright orange, purple, red</t>
  </si>
  <si>
    <t>Bright pink, red, orange, purple</t>
  </si>
  <si>
    <t>Nightengale, Arena Red</t>
  </si>
  <si>
    <t>bright pink, orange, red, purple</t>
  </si>
  <si>
    <t>burgundy, orange</t>
  </si>
  <si>
    <t>Pink, Red, Purple</t>
  </si>
  <si>
    <t>dark purple,</t>
  </si>
  <si>
    <t>Dark Purple, Bright pink, Red, Orange</t>
  </si>
  <si>
    <t>Campfire</t>
  </si>
  <si>
    <t>Red, bright pink, orange, burgundy</t>
  </si>
  <si>
    <t>Benary Bright pink, Benary orange, Benary burgundy, Benary red</t>
  </si>
  <si>
    <t>SP Burgundy, Cornel, Orange, Magenta Tubular, Fabulous</t>
  </si>
  <si>
    <t>Bright pink, Bright orange, burgundy, red</t>
  </si>
  <si>
    <t>Bright pink, red, orange, burgundy</t>
  </si>
  <si>
    <t>bright pink, orange, red</t>
  </si>
  <si>
    <t>Red, Burgundy</t>
  </si>
  <si>
    <t>Rubenza</t>
  </si>
  <si>
    <t>Red, Orange</t>
  </si>
  <si>
    <t>lavender, cream, purple, purple-pink</t>
  </si>
  <si>
    <t>Benary Lilac, Benary Purple</t>
  </si>
  <si>
    <t>lavenders, spiky pink-purple, Hula, Purple Keeper, Magenta Tubular, Thomas Edison</t>
  </si>
  <si>
    <t>Lilac, Purple</t>
  </si>
  <si>
    <t>Purples</t>
  </si>
  <si>
    <t>Purple</t>
  </si>
  <si>
    <t>Pinky-purple</t>
  </si>
  <si>
    <t>cool pink</t>
  </si>
  <si>
    <t>lilac, purple</t>
  </si>
  <si>
    <t>light purple, dark purple</t>
  </si>
  <si>
    <t>Oklahoma salmon zinnias and Rudbeckia overlap</t>
  </si>
  <si>
    <t xml:space="preserve">Benary </t>
  </si>
  <si>
    <t>Robin Hood, Rose Toscano</t>
  </si>
  <si>
    <t>Oklahoma Salmon</t>
  </si>
  <si>
    <t>Stems/bouquet</t>
  </si>
  <si>
    <t>white only</t>
  </si>
  <si>
    <t>things we don't need much of with this color palette</t>
  </si>
  <si>
    <t>purple cosmos</t>
  </si>
  <si>
    <t>total # of large bouquets desired</t>
  </si>
  <si>
    <t>total # of small bouquets desired</t>
  </si>
  <si>
    <t>1. Fill in the cells in orange. Do NOT adjust any other values</t>
  </si>
  <si>
    <t>3. Click on cell D13-D18 (it is a merged cell)</t>
  </si>
  <si>
    <t>Regular ($30 wholesale) Bouquets</t>
  </si>
  <si>
    <t>Fall</t>
  </si>
  <si>
    <t>Large ($50 wholesale) Bouquets</t>
  </si>
  <si>
    <t>Small ($20 wholesale) Bouquets</t>
  </si>
  <si>
    <t>average price for category</t>
  </si>
  <si>
    <t>Other Straights or Doubles, Triples</t>
  </si>
  <si>
    <t>Never, ever:</t>
  </si>
  <si>
    <t>Ammi</t>
  </si>
  <si>
    <t>Dara</t>
  </si>
  <si>
    <t>Fall Light</t>
  </si>
  <si>
    <t>Gentle Gemstones</t>
  </si>
  <si>
    <t>pink, Benary's lilac</t>
  </si>
  <si>
    <t>Golden Hour, Creamy Yellow, QLO</t>
  </si>
  <si>
    <t>Pale Pink, Light Salmon, Golden Hour, QLP</t>
  </si>
  <si>
    <t>Pink, Benary Salmon</t>
  </si>
  <si>
    <t>Oklahoma Salmon, Oklahoma Pink</t>
  </si>
  <si>
    <t>Rosé All Day</t>
  </si>
  <si>
    <t>Fall Bright</t>
  </si>
  <si>
    <t xml:space="preserve"> Benary Bright Pink, Coral</t>
  </si>
  <si>
    <t>Benary Bright pink, Benary orange, Benary Burgundy, Benary Red</t>
  </si>
  <si>
    <t>Bright pink, Bright orange, burgundy, red, QLR</t>
  </si>
  <si>
    <t>Pinky-purple, limelight</t>
  </si>
  <si>
    <t>Wine Flight</t>
  </si>
  <si>
    <t>burgundy, blush, cream</t>
  </si>
  <si>
    <t>Red (deep burgundy)</t>
  </si>
  <si>
    <t>blush, Benary Burgundy</t>
  </si>
  <si>
    <t xml:space="preserve">CAL, SP Burgundy, Edinburgh, RRA, </t>
  </si>
  <si>
    <t>blush, burgundy, QLR</t>
  </si>
  <si>
    <t>Cream, blush, Nightengale, Arena Red?</t>
  </si>
  <si>
    <t>blush</t>
  </si>
  <si>
    <t>use too much bright orange</t>
  </si>
  <si>
    <t>Pumpkin Spice</t>
  </si>
  <si>
    <t>Copper, burnt muted orange, cream</t>
  </si>
  <si>
    <t>Plum (gold/bronze)</t>
  </si>
  <si>
    <t>Golden Hour, new peach??</t>
  </si>
  <si>
    <t>Cornel Bronze, peach, Andy's Legacy??</t>
  </si>
  <si>
    <t>QLO, Golden Hour, new peach??</t>
  </si>
  <si>
    <t>Cream</t>
  </si>
  <si>
    <t>Bronze</t>
  </si>
  <si>
    <t>no</t>
  </si>
  <si>
    <t>orange</t>
  </si>
  <si>
    <t>cream</t>
  </si>
  <si>
    <t>Oklahoma zinnias and Rudbeckia overlap</t>
  </si>
  <si>
    <t>loaded scenario below</t>
  </si>
  <si>
    <t>Focal</t>
  </si>
  <si>
    <t>Average of All Varieties</t>
  </si>
  <si>
    <t>Spring</t>
  </si>
  <si>
    <t>April, early May</t>
  </si>
  <si>
    <t>Late May, June</t>
  </si>
  <si>
    <t>July, August</t>
  </si>
  <si>
    <t>September, October</t>
  </si>
  <si>
    <t>Late Spring, Fall</t>
  </si>
  <si>
    <t>Daffodil</t>
  </si>
  <si>
    <t>Bloom Start Month</t>
  </si>
  <si>
    <t>Sequence</t>
  </si>
  <si>
    <t>Variety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</si>
  <si>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</si>
  <si>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</si>
  <si>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</si>
  <si>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</si>
  <si>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</si>
  <si>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</si>
  <si>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</si>
  <si>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</si>
  <si>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Seeding</t>
  </si>
  <si>
    <t>Planting</t>
  </si>
  <si>
    <t>Blooming</t>
  </si>
  <si>
    <t>Baptisia</t>
  </si>
  <si>
    <t xml:space="preserve">IMPORTANT:  As of 12/23/23 this sheet is now out of date -- please don't use.  See "Master Variety List" tab instead.  </t>
  </si>
  <si>
    <t>Phlox (fill rest of rudbeckia row)</t>
  </si>
  <si>
    <t>Hyacinth Beans (end-August - September)</t>
  </si>
  <si>
    <t>Deutzia - Early May</t>
  </si>
  <si>
    <t>Pieris - April</t>
  </si>
  <si>
    <t>o</t>
  </si>
  <si>
    <t>Retail Markup</t>
  </si>
  <si>
    <t>Notes For Next Year</t>
  </si>
  <si>
    <t>asdf</t>
  </si>
  <si>
    <t>July - October</t>
  </si>
  <si>
    <t>If in June, plant white nights first, otherwise plant whites and yellows at same time for both successions</t>
  </si>
  <si>
    <t>Mid-July - October</t>
  </si>
  <si>
    <t>August - October</t>
  </si>
  <si>
    <t>Dahlia (XL)</t>
  </si>
  <si>
    <t>*we charged $6 retail for single dahlia stem in bouquet on 8/23/23 - not on average for recipes</t>
  </si>
  <si>
    <t>March - Early May</t>
  </si>
  <si>
    <t>Better watering</t>
  </si>
  <si>
    <t>Late May - June</t>
  </si>
  <si>
    <t>If lucky, mid may for Mother's Day</t>
  </si>
  <si>
    <t>*not on average for recipes</t>
  </si>
  <si>
    <t>2 - Support</t>
  </si>
  <si>
    <t>Need serious remediation</t>
  </si>
  <si>
    <t>June - July</t>
  </si>
  <si>
    <t>July - August</t>
  </si>
  <si>
    <t>July - September (maybe October)</t>
  </si>
  <si>
    <t>Shar wants goldilocks + mini ones but we have so much already</t>
  </si>
  <si>
    <t>July - August... mid-Sept - October</t>
  </si>
  <si>
    <t>Double flush, tunneled potentially or rain cover</t>
  </si>
  <si>
    <t>June - July... Sept - October</t>
  </si>
  <si>
    <t>Need more blush + white, tunneled if we want earlier, multiple successions</t>
  </si>
  <si>
    <t>April - mid-June</t>
  </si>
  <si>
    <t>Mid-April - June</t>
  </si>
  <si>
    <t xml:space="preserve">April  </t>
  </si>
  <si>
    <t>Late March - June</t>
  </si>
  <si>
    <t>Extend season by selecting ones that are known for early vs. mid season, using the sacata guide Sharon put in Notion</t>
  </si>
  <si>
    <t>June - August (maybe September)</t>
  </si>
  <si>
    <t>Early - Mid June</t>
  </si>
  <si>
    <t>Lets pack shade garden so less weeds!!!!!! YAY!!!!!!</t>
  </si>
  <si>
    <t>succession, split with someone else</t>
  </si>
  <si>
    <t>End of May - Mid June</t>
  </si>
  <si>
    <t>Aspirational</t>
  </si>
  <si>
    <t>NEED MORE IN SHADE GARDEN</t>
  </si>
  <si>
    <t>End of March - April, maybe earlyMay??</t>
  </si>
  <si>
    <t xml:space="preserve">July - July.   </t>
  </si>
  <si>
    <t>Hydrangea (L-XL)</t>
  </si>
  <si>
    <t>Overwintered in tunnels which helped</t>
  </si>
  <si>
    <t>Mid June - July</t>
  </si>
  <si>
    <t>Move double plants somewhere else</t>
  </si>
  <si>
    <t>Late-July - Early September</t>
  </si>
  <si>
    <t>August - September</t>
  </si>
  <si>
    <t xml:space="preserve">Summer Scabiosa  </t>
  </si>
  <si>
    <t>May - June</t>
  </si>
  <si>
    <t>April - May</t>
  </si>
  <si>
    <t xml:space="preserve">May   </t>
  </si>
  <si>
    <t>Grow more in OG</t>
  </si>
  <si>
    <t>April - October</t>
  </si>
  <si>
    <t>Early May</t>
  </si>
  <si>
    <t>Mid-May</t>
  </si>
  <si>
    <t>May-June</t>
  </si>
  <si>
    <t>STOP IT, Carla to find finisher equivalent</t>
  </si>
  <si>
    <t>5 - Foliage</t>
  </si>
  <si>
    <t>May - July</t>
  </si>
  <si>
    <t>June-July</t>
  </si>
  <si>
    <t>September - October</t>
  </si>
  <si>
    <t>(only cut when bronze if possible)</t>
  </si>
  <si>
    <t>Dino Viburnum</t>
  </si>
  <si>
    <t>Late-July - October</t>
  </si>
  <si>
    <t>August-October</t>
  </si>
  <si>
    <t>June... August-September ??</t>
  </si>
  <si>
    <t>Snowberry</t>
  </si>
  <si>
    <t>April-May</t>
  </si>
  <si>
    <t>STOP IT, leave in shade garden</t>
  </si>
  <si>
    <t>Needs deer protection bc got ate and it's not a come-come again</t>
  </si>
  <si>
    <t>Sedum</t>
  </si>
  <si>
    <t>March - June</t>
  </si>
  <si>
    <t>Snowball Viburnum</t>
  </si>
  <si>
    <t>Pansy</t>
  </si>
  <si>
    <t>Sweet Pea</t>
  </si>
  <si>
    <t>July-August</t>
  </si>
  <si>
    <t>Lavender</t>
  </si>
  <si>
    <t>Russian Sage</t>
  </si>
  <si>
    <t>Sea Holly</t>
  </si>
  <si>
    <t>Support</t>
  </si>
  <si>
    <t>Spring/Summer</t>
  </si>
  <si>
    <t>Float</t>
  </si>
  <si>
    <t>Column1</t>
  </si>
  <si>
    <t>Season2</t>
  </si>
  <si>
    <t>Column3</t>
  </si>
  <si>
    <t>Indigo (September - October)</t>
  </si>
  <si>
    <t>Snowball</t>
  </si>
  <si>
    <t>SUMMER/FALL</t>
  </si>
  <si>
    <t>Retail</t>
  </si>
  <si>
    <t>Wholesale</t>
  </si>
  <si>
    <t>Focal Average Price</t>
  </si>
  <si>
    <t>Support Average Price</t>
  </si>
  <si>
    <t>Filler Average Price</t>
  </si>
  <si>
    <t>Float Average Price</t>
  </si>
  <si>
    <t>Finisher Average Price</t>
  </si>
  <si>
    <t>Foliage Average Price</t>
  </si>
  <si>
    <t>We've used the following recipe for signature bouquets priced at $49.99</t>
  </si>
  <si>
    <t>Stem Count</t>
  </si>
  <si>
    <t>Avg. Stem Price</t>
  </si>
  <si>
    <t>Total</t>
  </si>
  <si>
    <t>Supports</t>
  </si>
  <si>
    <t>Floats</t>
  </si>
  <si>
    <t>Fillers</t>
  </si>
  <si>
    <t>Foliages</t>
  </si>
  <si>
    <t>TOTALS</t>
  </si>
  <si>
    <t>In the future, we'd need to update to this to ensure we're consistent with Sharon's spreadsheet... and I think this will make bouquets feels too small. 16 stems for $50 feels kind of insane - that's on averag $3/stem. This week, for example, we'll have only sunflowers as a focal because very few large dahlias available and no large zinnias. I'll be adjusting significantly to ensure bouquets are large enough using more support flowers.</t>
  </si>
  <si>
    <t>Finishers</t>
  </si>
  <si>
    <t>We've used the following recipe for mixed bouquets priced at $34.50</t>
  </si>
  <si>
    <t>A mixed bouquet using the spreadsheet pricing is not even possible in my opinion, we need to update our spreadsheet to some adjusted pricing</t>
  </si>
  <si>
    <t>Foundation</t>
  </si>
  <si>
    <t>HYPOTHETICALLY, one of the simpler bouquets we've discussed with just 3/4 FILLER varieties would be possible for $34.50, although the goal would be that it's cheaper and we sold the following recipe for $27.50 at market earlier this year</t>
  </si>
  <si>
    <t>Explosion Grass</t>
  </si>
  <si>
    <t>FINAL COUNTS</t>
  </si>
  <si>
    <t>RECIPE 1</t>
  </si>
  <si>
    <t>RECIPE 2</t>
  </si>
  <si>
    <t>RECIPE 3</t>
  </si>
  <si>
    <t>STRAIGHT #1</t>
  </si>
  <si>
    <t>STRAIGHT #2</t>
  </si>
  <si>
    <t>STRAIGHT #3</t>
  </si>
  <si>
    <t>STRAIGHT #4</t>
  </si>
  <si>
    <t># of Bouqs</t>
  </si>
  <si>
    <t>Total Cost</t>
  </si>
  <si>
    <t>Focals (3)</t>
  </si>
  <si>
    <t>Final Cut</t>
  </si>
  <si>
    <t>Stem #</t>
  </si>
  <si>
    <t>Cost</t>
  </si>
  <si>
    <t>Sunflower (L)</t>
  </si>
  <si>
    <t>Zinnia (L)</t>
  </si>
  <si>
    <t>Fillers (2)</t>
  </si>
  <si>
    <t>Lime Light</t>
  </si>
  <si>
    <t>Foundations (3)</t>
  </si>
  <si>
    <t>Dahlia (S-M)</t>
  </si>
  <si>
    <t>Floats (2)</t>
  </si>
  <si>
    <t>Summer Scabiosa</t>
  </si>
  <si>
    <t>Carnations</t>
  </si>
  <si>
    <t>Bunny Tail</t>
  </si>
  <si>
    <t>Finishers (1)</t>
  </si>
  <si>
    <t>Flowering Mint</t>
  </si>
  <si>
    <t>Queen Anne's Lace</t>
  </si>
  <si>
    <t>Foliages (3)</t>
  </si>
  <si>
    <t>KEY 1</t>
  </si>
  <si>
    <t>Avg. Cost</t>
  </si>
  <si>
    <t>Echinachea</t>
  </si>
  <si>
    <t>Cosmos/Rudbeckia</t>
  </si>
  <si>
    <t>Description</t>
  </si>
  <si>
    <t>Size</t>
  </si>
  <si>
    <t>Notes</t>
  </si>
  <si>
    <t>Large flowers that take up significant visual "space" within the bouquet. Will be the most prominent flowers in the bouquet and have a major influence on the color palette for the bouquet.</t>
  </si>
  <si>
    <t xml:space="preserve">Generally at least 5" in diameter when open </t>
  </si>
  <si>
    <t>Tulips may be an exception to the size criteria</t>
  </si>
  <si>
    <t>Supporting -- disc</t>
  </si>
  <si>
    <t>Round or ball-shaped flowers that form the bulk of the bouquet. Not as large or as prominent as the focal flower(s).  Form the bulk of the bouquet.</t>
  </si>
  <si>
    <t>Generally 1.5" - 4.5" diameter.  Average size ~3"</t>
  </si>
  <si>
    <t>Supporting -- spike</t>
  </si>
  <si>
    <t>Same role as supporting (disc) flowers but with a spiked shape. Provide dimension to the bouquet.</t>
  </si>
  <si>
    <t>varies significantly</t>
  </si>
  <si>
    <t>Flowers generally consist of multiple, small florets.  Add texture and volume to bouquets and keep the supporting and focal flowers from becoming too dense. Generally used lower in the bouquet.</t>
  </si>
  <si>
    <t>Floaties</t>
  </si>
  <si>
    <t>Flowers capable of "floating" above the rest of the arrangement. Provide dimension and add an element of whimsy to the bouquet.</t>
  </si>
  <si>
    <t>Generally .5" - 2" diameter</t>
  </si>
  <si>
    <t>Greenery. Most often used around the edge of the bouquet. Provides a natural "backdrop" for the flowers in the bouquet and can serve to protect the more delicate blooms.</t>
  </si>
  <si>
    <t>n/a</t>
  </si>
  <si>
    <t>retail price</t>
  </si>
  <si>
    <t>average wholesale price</t>
  </si>
  <si>
    <t>MVFC price</t>
  </si>
  <si>
    <t>Potomac Floral price</t>
  </si>
  <si>
    <t>average wholesale cost of stems in category</t>
  </si>
  <si>
    <t>total # stems needed for all bouquets</t>
  </si>
  <si>
    <t># stems in lg bouquet</t>
  </si>
  <si>
    <t>wholesale cost of lg</t>
  </si>
  <si>
    <t>retail price of lg</t>
  </si>
  <si>
    <t># stems in  straight bunch</t>
  </si>
  <si>
    <t>wholesale cost straight bunch</t>
  </si>
  <si>
    <t>retail price straight bunch</t>
  </si>
  <si>
    <t># stems in straight bunch</t>
  </si>
  <si>
    <t>retail price snap straight bunch</t>
  </si>
  <si>
    <t># stems in "bonus bouq"</t>
  </si>
  <si>
    <t>wholesale cost "bonus bouq"</t>
  </si>
  <si>
    <t>retail price "bonus bouq"</t>
  </si>
  <si>
    <t>wedding</t>
  </si>
  <si>
    <t>extra stem disposition</t>
  </si>
  <si>
    <t>retail markup --&gt;</t>
  </si>
  <si>
    <t>number of bouqs--&gt;</t>
  </si>
  <si>
    <t>Tulip (French)</t>
  </si>
  <si>
    <t>hold for next week</t>
  </si>
  <si>
    <t>Tulip (double)</t>
  </si>
  <si>
    <t>Tulip (regular)</t>
  </si>
  <si>
    <t>ranunculus</t>
  </si>
  <si>
    <t>Iceland poppy (M-L)</t>
  </si>
  <si>
    <t>astilbe (pale pink)</t>
  </si>
  <si>
    <t>astilbe (dark pink)</t>
  </si>
  <si>
    <t>delphinium</t>
  </si>
  <si>
    <t>campanula (main stem)</t>
  </si>
  <si>
    <t>campanula (side stem)</t>
  </si>
  <si>
    <t>larkspur</t>
  </si>
  <si>
    <t>snapdragon (small)</t>
  </si>
  <si>
    <t>snapdragon (large)</t>
  </si>
  <si>
    <t>lilac</t>
  </si>
  <si>
    <t>euonymous</t>
  </si>
  <si>
    <t>saponaria</t>
  </si>
  <si>
    <t>bupleurum</t>
  </si>
  <si>
    <t>statice</t>
  </si>
  <si>
    <t>forget-me-not</t>
  </si>
  <si>
    <t>smokebush plume</t>
  </si>
  <si>
    <t>feverfew</t>
  </si>
  <si>
    <t>geum</t>
  </si>
  <si>
    <t>nigella</t>
  </si>
  <si>
    <t>verbena</t>
  </si>
  <si>
    <t>bachelor's buttons</t>
  </si>
  <si>
    <t>agrostemma</t>
  </si>
  <si>
    <t>snowball foliage</t>
  </si>
  <si>
    <t>mint</t>
  </si>
  <si>
    <t>snowberry foliage</t>
  </si>
  <si>
    <t>honeysuckle</t>
  </si>
  <si>
    <t>papyrus</t>
  </si>
  <si>
    <t>raspberry foliage</t>
  </si>
  <si>
    <t>fern</t>
  </si>
  <si>
    <t>viburnum foliage</t>
  </si>
  <si>
    <t>Totals for floral material only</t>
  </si>
  <si>
    <t>labor</t>
  </si>
  <si>
    <t>formula (hourly rate*taxable multiplier)*(time to make bouquet in minutes/minutes in one hour)</t>
  </si>
  <si>
    <t>total with labor</t>
  </si>
  <si>
    <t>cost to go to market</t>
  </si>
  <si>
    <t>total including cost to go to market</t>
  </si>
  <si>
    <t>means no wholesale prices to use -- so using best guess</t>
  </si>
  <si>
    <t>starting # stems</t>
  </si>
  <si>
    <t># stems left over</t>
  </si>
  <si>
    <t># stems in subscription</t>
  </si>
  <si>
    <t># stems in $25 bouquet</t>
  </si>
  <si>
    <t>wholesale cost of $25</t>
  </si>
  <si>
    <t>retail price of $25</t>
  </si>
  <si>
    <t># stems in $35 bouquet</t>
  </si>
  <si>
    <t>wholesale cost of $35</t>
  </si>
  <si>
    <t>retail price of $35</t>
  </si>
  <si>
    <t>retail price of straight bunch</t>
  </si>
  <si>
    <t># stems in MD pre-order bouquet</t>
  </si>
  <si>
    <t>wholesale cost MD pre-order bouquet</t>
  </si>
  <si>
    <t>retail price of MD pre-order bouquet</t>
  </si>
  <si>
    <t># stems in MD bouquet</t>
  </si>
  <si>
    <t>wholesale cost MD bouquet</t>
  </si>
  <si>
    <t>retail price of MD bouquet</t>
  </si>
  <si>
    <t># stems Super Deluxe MD arrangement</t>
  </si>
  <si>
    <t># stems  Deluxe MD arrangement</t>
  </si>
  <si>
    <t># stems hobnail MD arrangement</t>
  </si>
  <si>
    <t># stems iridescent MD arrangement</t>
  </si>
  <si>
    <t># stems Tall Jupiter MD arrangement</t>
  </si>
  <si>
    <t>retail markup</t>
  </si>
  <si>
    <t>Tulip -- double</t>
  </si>
  <si>
    <t>Tulip -- parrot</t>
  </si>
  <si>
    <t>Tulip -- regular</t>
  </si>
  <si>
    <t>Tulip -- French</t>
  </si>
  <si>
    <t>Iceland poppy</t>
  </si>
  <si>
    <t>allium</t>
  </si>
  <si>
    <t>dogwood branch</t>
  </si>
  <si>
    <t>snowball branch</t>
  </si>
  <si>
    <t>stock</t>
  </si>
  <si>
    <t>bleeding heart</t>
  </si>
  <si>
    <t xml:space="preserve">                          </t>
  </si>
  <si>
    <t>wild cress</t>
  </si>
  <si>
    <t>privet</t>
  </si>
  <si>
    <t>ninebark</t>
  </si>
  <si>
    <t>spirea</t>
  </si>
  <si>
    <t>mockorange</t>
  </si>
  <si>
    <t>vase</t>
  </si>
  <si>
    <t>Totals just for floral material</t>
  </si>
  <si>
    <t># stems in peony straight bunch</t>
  </si>
  <si>
    <t>wholesale cost peony straight bunch</t>
  </si>
  <si>
    <t>retail price peony straight bunch</t>
  </si>
  <si>
    <t>Coral Charm peony</t>
  </si>
  <si>
    <t>pink peony</t>
  </si>
  <si>
    <t>pale pink peony</t>
  </si>
  <si>
    <t>white peony</t>
  </si>
  <si>
    <t>deutzia</t>
  </si>
  <si>
    <t>lovage</t>
  </si>
  <si>
    <t>baptisia</t>
  </si>
  <si>
    <t>campanula</t>
  </si>
  <si>
    <t># stems in sub bouquet</t>
  </si>
  <si>
    <t>wholesale cost sub bouquet</t>
  </si>
  <si>
    <t>retail price of sub bouquet</t>
  </si>
  <si>
    <t>dark pink peony</t>
  </si>
  <si>
    <t>garden rose</t>
  </si>
  <si>
    <t># stems in med bouquet</t>
  </si>
  <si>
    <t>wholesale cost of med</t>
  </si>
  <si>
    <t>retail price of med</t>
  </si>
  <si>
    <t># stems in camp straight bunch</t>
  </si>
  <si>
    <t>wholesale cost camp straight bunch</t>
  </si>
  <si>
    <t>retail price of camp straight bunch</t>
  </si>
  <si>
    <t># stems in $7 straight bunch</t>
  </si>
  <si>
    <t>wholesale cost $7 straight bunch</t>
  </si>
  <si>
    <t>retail price $7 straight bunch</t>
  </si>
  <si>
    <t>workshop</t>
  </si>
  <si>
    <t>choose ammi or yarrow       and      1+1 sun/rose or both the same</t>
  </si>
  <si>
    <t>Sunflower (small)</t>
  </si>
  <si>
    <t xml:space="preserve">  </t>
  </si>
  <si>
    <t>yarrow</t>
  </si>
  <si>
    <t>strawflower</t>
  </si>
  <si>
    <t>ammi</t>
  </si>
  <si>
    <t>(2 camp + 2 other spikes)</t>
  </si>
  <si>
    <t>(mix of astilbe and snap)</t>
  </si>
  <si>
    <t>(can use 1+1 bup/fev or both the same)</t>
  </si>
  <si>
    <t>(use 2 bup or 2 feverfew)</t>
  </si>
  <si>
    <t xml:space="preserve">    </t>
  </si>
  <si>
    <t>(2 poppies + 1 other floaty)</t>
  </si>
  <si>
    <t>(3 poppies + 2 other floaties)</t>
  </si>
  <si>
    <t xml:space="preserve">                                                  </t>
  </si>
  <si>
    <t># stems in snap straight bunch</t>
  </si>
  <si>
    <t>wholesale cost snap straight bunch</t>
  </si>
  <si>
    <t># stems in $10 snap bunch</t>
  </si>
  <si>
    <t>wholesale cost $10 snap bunch</t>
  </si>
  <si>
    <t>retail price $10 snap bunch</t>
  </si>
  <si>
    <t>dill</t>
  </si>
  <si>
    <t>Late Spring, Summer/Fall</t>
  </si>
  <si>
    <t>Early Spring, Summer/Fall</t>
  </si>
  <si>
    <t>Early Spring, Late Spring, Summer/Fall</t>
  </si>
  <si>
    <t>Allium (M, L)</t>
  </si>
  <si>
    <t>Allium (S)</t>
  </si>
  <si>
    <t>Artemesia</t>
  </si>
  <si>
    <t>Astrantia</t>
  </si>
  <si>
    <t>Baptisia (flower)</t>
  </si>
  <si>
    <t>Blueberry branch</t>
  </si>
  <si>
    <t>Boxwood</t>
  </si>
  <si>
    <t>Calendula</t>
  </si>
  <si>
    <t>Celosia -- Brain</t>
  </si>
  <si>
    <t>Celosia -- Plume</t>
  </si>
  <si>
    <t>Celosia -- Flamingo (spray)</t>
  </si>
  <si>
    <t>Chrysanthemum (L)</t>
  </si>
  <si>
    <t>Clarkia</t>
  </si>
  <si>
    <t>Clematis</t>
  </si>
  <si>
    <t>Dill</t>
  </si>
  <si>
    <t>Chinese Forget-Me-Not</t>
  </si>
  <si>
    <t>Hops</t>
  </si>
  <si>
    <t>Kale (flowering)</t>
  </si>
  <si>
    <t>Phlox</t>
  </si>
  <si>
    <t>Ranunculus (M)</t>
  </si>
  <si>
    <t>Ranunculus (L)</t>
  </si>
  <si>
    <t>Rose, Garden (L)</t>
  </si>
  <si>
    <t>Rose, Garden (M)</t>
  </si>
  <si>
    <t>Salvia</t>
  </si>
  <si>
    <t>Solidago (Goldenrod)</t>
  </si>
  <si>
    <t>Sweet William</t>
  </si>
  <si>
    <t>Tulip - Parrot</t>
  </si>
  <si>
    <t>Tulip - Small</t>
  </si>
  <si>
    <t>Baptisia (foliage)</t>
  </si>
  <si>
    <t>Hibiscus (Mahogany Splendor)</t>
  </si>
  <si>
    <t>Ninebark foliage</t>
  </si>
  <si>
    <t>last updated</t>
  </si>
  <si>
    <t>added to Master List</t>
  </si>
  <si>
    <t>2.7.2026</t>
  </si>
  <si>
    <t>source date (if cited)</t>
  </si>
  <si>
    <t>Hypericum Berry</t>
  </si>
  <si>
    <t>Horst</t>
  </si>
  <si>
    <t>USDA</t>
  </si>
  <si>
    <t>Carnation</t>
  </si>
  <si>
    <t>Chrysanthemum (M or spray)</t>
  </si>
  <si>
    <t>Ranunculus, Butterfly</t>
  </si>
  <si>
    <t>Thistle, Globe</t>
  </si>
  <si>
    <t>Snowball Viburnum (flower)</t>
  </si>
  <si>
    <t>Snowball Viburnum (foliage</t>
  </si>
  <si>
    <t>Potomac w/s</t>
  </si>
  <si>
    <t>Standard Deviation</t>
  </si>
  <si>
    <t>Geranium foliage</t>
  </si>
  <si>
    <t>Poppy - Icelandic (S)</t>
  </si>
  <si>
    <t>Poppy - Icelandic (M)</t>
  </si>
  <si>
    <t>Poppy - Icelandic (L)</t>
  </si>
  <si>
    <t>Raspberry foliage</t>
  </si>
  <si>
    <t>Spirea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</si>
</sst>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alibri"/>
      <family val="2"/>
      <scheme val="minor"/>
    </font>
    <font>
      <sz val="13.5"/>
      <color rgb="FF000000"/>
      <name val="-Webkit-Standard"/>
      <charset val="1"/>
    </font>
    <font>
      <b/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 (Body)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 (Body)"/>
    </font>
    <font>
      <b/>
      <sz val="13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C5FFF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E2FF"/>
        <bgColor indexed="64"/>
      </patternFill>
    </fill>
    <fill>
      <patternFill patternType="solid">
        <fgColor rgb="FFB7D0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2C4"/>
        <bgColor indexed="64"/>
      </patternFill>
    </fill>
    <fill>
      <patternFill patternType="solid">
        <fgColor rgb="FFE3CFC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BFD6"/>
        <bgColor indexed="64"/>
      </patternFill>
    </fill>
    <fill>
      <patternFill patternType="solid">
        <fgColor rgb="FFFCDEFF"/>
        <bgColor indexed="64"/>
      </patternFill>
    </fill>
    <fill>
      <patternFill patternType="solid">
        <fgColor rgb="FFE1D4FF"/>
        <bgColor indexed="64"/>
      </patternFill>
    </fill>
    <fill>
      <patternFill patternType="solid">
        <fgColor rgb="FFEFFFCF"/>
        <bgColor indexed="64"/>
      </patternFill>
    </fill>
    <fill>
      <patternFill patternType="solid">
        <fgColor rgb="FFD8EDDD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4">
    <xf numFmtId="0" fontId="0" fillId="0" borderId="0" xfId="0"/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44" fontId="0" fillId="5" borderId="1" xfId="1" applyFont="1" applyFill="1" applyBorder="1"/>
    <xf numFmtId="44" fontId="0" fillId="2" borderId="1" xfId="0" applyNumberFormat="1" applyFill="1" applyBorder="1"/>
    <xf numFmtId="44" fontId="0" fillId="3" borderId="1" xfId="0" applyNumberFormat="1" applyFill="1" applyBorder="1"/>
    <xf numFmtId="44" fontId="0" fillId="4" borderId="1" xfId="0" applyNumberFormat="1" applyFill="1" applyBorder="1"/>
    <xf numFmtId="44" fontId="0" fillId="5" borderId="1" xfId="0" applyNumberFormat="1" applyFill="1" applyBorder="1"/>
    <xf numFmtId="44" fontId="2" fillId="0" borderId="1" xfId="1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2" fillId="2" borderId="1" xfId="1" applyFont="1" applyFill="1" applyBorder="1"/>
    <xf numFmtId="44" fontId="2" fillId="3" borderId="1" xfId="1" applyFont="1" applyFill="1" applyBorder="1"/>
    <xf numFmtId="44" fontId="2" fillId="4" borderId="1" xfId="1" applyFont="1" applyFill="1" applyBorder="1"/>
    <xf numFmtId="44" fontId="2" fillId="5" borderId="1" xfId="1" applyFont="1" applyFill="1" applyBorder="1"/>
    <xf numFmtId="44" fontId="0" fillId="2" borderId="1" xfId="1" applyFont="1" applyFill="1" applyBorder="1"/>
    <xf numFmtId="44" fontId="0" fillId="3" borderId="1" xfId="1" applyFont="1" applyFill="1" applyBorder="1"/>
    <xf numFmtId="44" fontId="0" fillId="4" borderId="1" xfId="1" applyFont="1" applyFill="1" applyBorder="1"/>
    <xf numFmtId="44" fontId="1" fillId="2" borderId="1" xfId="1" applyFont="1" applyFill="1" applyBorder="1"/>
    <xf numFmtId="44" fontId="1" fillId="3" borderId="1" xfId="1" applyFont="1" applyFill="1" applyBorder="1"/>
    <xf numFmtId="44" fontId="1" fillId="4" borderId="1" xfId="1" applyFont="1" applyFill="1" applyBorder="1"/>
    <xf numFmtId="44" fontId="1" fillId="5" borderId="1" xfId="1" applyFont="1" applyFill="1" applyBorder="1"/>
    <xf numFmtId="0" fontId="0" fillId="6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44" fontId="0" fillId="7" borderId="1" xfId="0" applyNumberFormat="1" applyFill="1" applyBorder="1"/>
    <xf numFmtId="0" fontId="0" fillId="7" borderId="1" xfId="0" applyFill="1" applyBorder="1"/>
    <xf numFmtId="44" fontId="2" fillId="7" borderId="1" xfId="1" applyFont="1" applyFill="1" applyBorder="1"/>
    <xf numFmtId="44" fontId="1" fillId="7" borderId="1" xfId="1" applyFont="1" applyFill="1" applyBorder="1"/>
    <xf numFmtId="44" fontId="0" fillId="7" borderId="1" xfId="1" applyFont="1" applyFill="1" applyBorder="1"/>
    <xf numFmtId="0" fontId="0" fillId="7" borderId="0" xfId="0" applyFill="1"/>
    <xf numFmtId="0" fontId="3" fillId="0" borderId="1" xfId="0" applyFont="1" applyBorder="1" applyAlignment="1">
      <alignment horizontal="right"/>
    </xf>
    <xf numFmtId="44" fontId="3" fillId="0" borderId="1" xfId="1" applyFont="1" applyBorder="1"/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8" borderId="1" xfId="0" applyFill="1" applyBorder="1"/>
    <xf numFmtId="0" fontId="3" fillId="0" borderId="1" xfId="1" applyNumberFormat="1" applyFont="1" applyBorder="1"/>
    <xf numFmtId="0" fontId="3" fillId="2" borderId="1" xfId="0" applyFont="1" applyFill="1" applyBorder="1"/>
    <xf numFmtId="44" fontId="3" fillId="2" borderId="1" xfId="1" applyFont="1" applyFill="1" applyBorder="1"/>
    <xf numFmtId="44" fontId="3" fillId="3" borderId="1" xfId="1" applyFont="1" applyFill="1" applyBorder="1"/>
    <xf numFmtId="44" fontId="3" fillId="4" borderId="1" xfId="1" applyFont="1" applyFill="1" applyBorder="1"/>
    <xf numFmtId="44" fontId="3" fillId="5" borderId="1" xfId="1" applyFont="1" applyFill="1" applyBorder="1"/>
    <xf numFmtId="44" fontId="3" fillId="7" borderId="1" xfId="1" applyFont="1" applyFill="1" applyBorder="1"/>
    <xf numFmtId="0" fontId="3" fillId="0" borderId="0" xfId="0" applyFont="1"/>
    <xf numFmtId="0" fontId="4" fillId="0" borderId="1" xfId="0" applyFont="1" applyBorder="1" applyAlignment="1">
      <alignment horizontal="right"/>
    </xf>
    <xf numFmtId="44" fontId="0" fillId="0" borderId="1" xfId="1" applyFont="1" applyFill="1" applyBorder="1"/>
    <xf numFmtId="44" fontId="2" fillId="9" borderId="1" xfId="1" applyFont="1" applyFill="1" applyBorder="1"/>
    <xf numFmtId="0" fontId="0" fillId="2" borderId="2" xfId="0" applyFill="1" applyBorder="1"/>
    <xf numFmtId="0" fontId="2" fillId="3" borderId="1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4" fontId="0" fillId="0" borderId="1" xfId="1" applyFont="1" applyBorder="1" applyAlignment="1">
      <alignment vertical="center"/>
    </xf>
    <xf numFmtId="44" fontId="0" fillId="0" borderId="0" xfId="1" applyFont="1" applyBorder="1"/>
    <xf numFmtId="0" fontId="0" fillId="0" borderId="0" xfId="0" applyAlignment="1">
      <alignment horizontal="center" vertical="center" wrapText="1"/>
    </xf>
    <xf numFmtId="44" fontId="0" fillId="0" borderId="0" xfId="1" applyFont="1" applyFill="1" applyBorder="1"/>
    <xf numFmtId="0" fontId="2" fillId="0" borderId="0" xfId="0" applyFont="1"/>
    <xf numFmtId="0" fontId="6" fillId="10" borderId="0" xfId="0" applyFont="1" applyFill="1" applyAlignment="1">
      <alignment horizontal="center" vertical="center" wrapText="1"/>
    </xf>
    <xf numFmtId="44" fontId="6" fillId="10" borderId="0" xfId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/>
    <xf numFmtId="164" fontId="0" fillId="0" borderId="0" xfId="1" applyNumberFormat="1" applyFont="1" applyBorder="1"/>
    <xf numFmtId="164" fontId="6" fillId="1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/>
    <xf numFmtId="164" fontId="3" fillId="0" borderId="0" xfId="1" applyNumberFormat="1" applyFont="1" applyFill="1" applyBorder="1"/>
    <xf numFmtId="164" fontId="0" fillId="0" borderId="0" xfId="0" applyNumberFormat="1"/>
    <xf numFmtId="164" fontId="2" fillId="0" borderId="0" xfId="1" applyNumberFormat="1" applyFont="1" applyBorder="1"/>
    <xf numFmtId="164" fontId="2" fillId="0" borderId="0" xfId="0" applyNumberFormat="1" applyFont="1"/>
    <xf numFmtId="0" fontId="0" fillId="0" borderId="0" xfId="0" applyAlignment="1">
      <alignment wrapText="1"/>
    </xf>
    <xf numFmtId="0" fontId="7" fillId="0" borderId="0" xfId="0" applyFont="1"/>
    <xf numFmtId="0" fontId="0" fillId="11" borderId="0" xfId="0" applyFill="1"/>
    <xf numFmtId="0" fontId="0" fillId="12" borderId="0" xfId="0" applyFill="1"/>
    <xf numFmtId="0" fontId="0" fillId="13" borderId="0" xfId="0" applyFill="1"/>
    <xf numFmtId="44" fontId="0" fillId="13" borderId="0" xfId="1" applyFont="1" applyFill="1" applyBorder="1"/>
    <xf numFmtId="164" fontId="0" fillId="13" borderId="0" xfId="1" applyNumberFormat="1" applyFont="1" applyFill="1" applyBorder="1"/>
    <xf numFmtId="0" fontId="0" fillId="0" borderId="8" xfId="0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164" fontId="0" fillId="0" borderId="11" xfId="1" applyNumberFormat="1" applyFont="1" applyFill="1" applyBorder="1"/>
    <xf numFmtId="164" fontId="0" fillId="0" borderId="12" xfId="0" applyNumberFormat="1" applyBorder="1"/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44" fontId="6" fillId="10" borderId="14" xfId="1" applyFont="1" applyFill="1" applyBorder="1" applyAlignment="1">
      <alignment horizontal="center" vertical="center" wrapText="1"/>
    </xf>
    <xf numFmtId="164" fontId="6" fillId="10" borderId="14" xfId="1" applyNumberFormat="1" applyFont="1" applyFill="1" applyBorder="1" applyAlignment="1">
      <alignment horizontal="center" vertical="center" wrapText="1"/>
    </xf>
    <xf numFmtId="164" fontId="6" fillId="10" borderId="15" xfId="1" applyNumberFormat="1" applyFont="1" applyFill="1" applyBorder="1" applyAlignment="1">
      <alignment horizontal="center" vertical="center" wrapText="1"/>
    </xf>
    <xf numFmtId="164" fontId="0" fillId="0" borderId="9" xfId="1" applyNumberFormat="1" applyFont="1" applyFill="1" applyBorder="1"/>
    <xf numFmtId="0" fontId="0" fillId="6" borderId="0" xfId="0" applyFill="1"/>
    <xf numFmtId="44" fontId="0" fillId="6" borderId="0" xfId="1" applyFont="1" applyFill="1" applyBorder="1"/>
    <xf numFmtId="164" fontId="0" fillId="6" borderId="0" xfId="1" applyNumberFormat="1" applyFont="1" applyFill="1" applyBorder="1"/>
    <xf numFmtId="164" fontId="0" fillId="6" borderId="0" xfId="0" applyNumberFormat="1" applyFill="1"/>
    <xf numFmtId="164" fontId="2" fillId="6" borderId="0" xfId="0" applyNumberFormat="1" applyFont="1" applyFill="1"/>
    <xf numFmtId="1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9" xfId="0" applyBorder="1"/>
    <xf numFmtId="0" fontId="2" fillId="0" borderId="8" xfId="0" applyFont="1" applyBorder="1"/>
    <xf numFmtId="0" fontId="2" fillId="0" borderId="9" xfId="0" applyFont="1" applyBorder="1"/>
    <xf numFmtId="0" fontId="8" fillId="0" borderId="8" xfId="0" applyFont="1" applyBorder="1"/>
    <xf numFmtId="0" fontId="0" fillId="0" borderId="0" xfId="0" applyAlignment="1">
      <alignment horizontal="center"/>
    </xf>
    <xf numFmtId="1" fontId="2" fillId="0" borderId="0" xfId="0" applyNumberFormat="1" applyFont="1"/>
    <xf numFmtId="1" fontId="0" fillId="0" borderId="0" xfId="0" applyNumberFormat="1" applyAlignment="1">
      <alignment horizontal="left"/>
    </xf>
    <xf numFmtId="1" fontId="0" fillId="6" borderId="9" xfId="0" applyNumberFormat="1" applyFill="1" applyBorder="1" applyAlignment="1">
      <alignment horizontal="left"/>
    </xf>
    <xf numFmtId="1" fontId="0" fillId="6" borderId="12" xfId="0" applyNumberFormat="1" applyFill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13" borderId="8" xfId="0" applyFill="1" applyBorder="1"/>
    <xf numFmtId="164" fontId="2" fillId="2" borderId="9" xfId="0" applyNumberFormat="1" applyFont="1" applyFill="1" applyBorder="1" applyAlignment="1">
      <alignment horizontal="center"/>
    </xf>
    <xf numFmtId="164" fontId="0" fillId="2" borderId="9" xfId="0" applyNumberFormat="1" applyFill="1" applyBorder="1"/>
    <xf numFmtId="0" fontId="2" fillId="0" borderId="15" xfId="0" applyFont="1" applyBorder="1" applyAlignment="1">
      <alignment horizontal="center"/>
    </xf>
    <xf numFmtId="0" fontId="0" fillId="13" borderId="10" xfId="0" applyFill="1" applyBorder="1"/>
    <xf numFmtId="164" fontId="0" fillId="0" borderId="8" xfId="0" applyNumberFormat="1" applyBorder="1"/>
    <xf numFmtId="0" fontId="2" fillId="0" borderId="13" xfId="0" applyFont="1" applyBorder="1" applyAlignment="1">
      <alignment horizontal="center"/>
    </xf>
    <xf numFmtId="0" fontId="0" fillId="6" borderId="9" xfId="0" applyFill="1" applyBorder="1"/>
    <xf numFmtId="0" fontId="0" fillId="6" borderId="12" xfId="0" applyFill="1" applyBorder="1"/>
    <xf numFmtId="1" fontId="2" fillId="0" borderId="9" xfId="0" applyNumberFormat="1" applyFont="1" applyBorder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164" fontId="0" fillId="0" borderId="0" xfId="1" applyNumberFormat="1" applyFont="1" applyFill="1"/>
    <xf numFmtId="44" fontId="0" fillId="0" borderId="0" xfId="1" applyFont="1" applyFill="1"/>
    <xf numFmtId="0" fontId="0" fillId="0" borderId="12" xfId="0" applyBorder="1"/>
    <xf numFmtId="0" fontId="2" fillId="17" borderId="14" xfId="0" applyFont="1" applyFill="1" applyBorder="1" applyAlignment="1">
      <alignment horizontal="center"/>
    </xf>
    <xf numFmtId="0" fontId="11" fillId="23" borderId="13" xfId="0" applyFont="1" applyFill="1" applyBorder="1" applyAlignment="1">
      <alignment horizontal="center"/>
    </xf>
    <xf numFmtId="0" fontId="0" fillId="16" borderId="8" xfId="0" applyFill="1" applyBorder="1"/>
    <xf numFmtId="0" fontId="0" fillId="24" borderId="8" xfId="0" applyFill="1" applyBorder="1"/>
    <xf numFmtId="0" fontId="0" fillId="25" borderId="8" xfId="0" applyFill="1" applyBorder="1"/>
    <xf numFmtId="0" fontId="0" fillId="25" borderId="10" xfId="0" applyFill="1" applyBorder="1"/>
    <xf numFmtId="44" fontId="6" fillId="10" borderId="0" xfId="1" applyFont="1" applyFill="1" applyAlignment="1">
      <alignment horizontal="center" vertical="center" wrapText="1"/>
    </xf>
    <xf numFmtId="44" fontId="0" fillId="0" borderId="0" xfId="1" applyFont="1" applyBorder="1" applyAlignment="1">
      <alignment wrapText="1"/>
    </xf>
    <xf numFmtId="0" fontId="0" fillId="0" borderId="0" xfId="1" applyNumberFormat="1" applyFont="1" applyBorder="1"/>
    <xf numFmtId="164" fontId="0" fillId="0" borderId="0" xfId="1" applyNumberFormat="1" applyFont="1" applyBorder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1" applyNumberFormat="1" applyFont="1" applyBorder="1"/>
    <xf numFmtId="44" fontId="0" fillId="0" borderId="0" xfId="1" applyFont="1"/>
    <xf numFmtId="0" fontId="0" fillId="0" borderId="16" xfId="0" applyBorder="1"/>
    <xf numFmtId="164" fontId="0" fillId="0" borderId="17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 applyBorder="1" applyAlignment="1">
      <alignment horizontal="right" vertical="top" wrapText="1"/>
    </xf>
    <xf numFmtId="1" fontId="0" fillId="0" borderId="0" xfId="0" applyNumberFormat="1" applyAlignment="1">
      <alignment horizontal="center"/>
    </xf>
    <xf numFmtId="44" fontId="0" fillId="0" borderId="0" xfId="0" applyNumberFormat="1"/>
    <xf numFmtId="44" fontId="0" fillId="0" borderId="0" xfId="1" applyFont="1" applyBorder="1" applyAlignment="1">
      <alignment horizontal="right" wrapText="1"/>
    </xf>
    <xf numFmtId="0" fontId="0" fillId="18" borderId="0" xfId="1" applyNumberFormat="1" applyFont="1" applyFill="1" applyBorder="1" applyAlignment="1">
      <alignment horizontal="left" vertical="center"/>
    </xf>
    <xf numFmtId="1" fontId="0" fillId="0" borderId="17" xfId="1" applyNumberFormat="1" applyFont="1" applyBorder="1"/>
    <xf numFmtId="0" fontId="0" fillId="0" borderId="19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19" xfId="0" applyBorder="1"/>
    <xf numFmtId="164" fontId="0" fillId="0" borderId="19" xfId="1" applyNumberFormat="1" applyFont="1" applyBorder="1"/>
    <xf numFmtId="1" fontId="0" fillId="0" borderId="20" xfId="1" applyNumberFormat="1" applyFont="1" applyBorder="1"/>
    <xf numFmtId="0" fontId="0" fillId="0" borderId="21" xfId="1" applyNumberFormat="1" applyFont="1" applyBorder="1" applyAlignment="1">
      <alignment horizontal="left" vertical="center"/>
    </xf>
    <xf numFmtId="0" fontId="0" fillId="0" borderId="22" xfId="0" applyBorder="1" applyAlignment="1">
      <alignment wrapText="1"/>
    </xf>
    <xf numFmtId="0" fontId="2" fillId="0" borderId="22" xfId="0" applyFont="1" applyBorder="1" applyAlignment="1">
      <alignment horizontal="center" wrapText="1"/>
    </xf>
    <xf numFmtId="0" fontId="2" fillId="0" borderId="22" xfId="0" applyFont="1" applyBorder="1" applyAlignment="1">
      <alignment wrapText="1"/>
    </xf>
    <xf numFmtId="44" fontId="2" fillId="0" borderId="22" xfId="1" applyFont="1" applyBorder="1" applyAlignment="1">
      <alignment wrapText="1"/>
    </xf>
    <xf numFmtId="164" fontId="2" fillId="0" borderId="22" xfId="1" applyNumberFormat="1" applyFont="1" applyBorder="1" applyAlignment="1">
      <alignment wrapText="1"/>
    </xf>
    <xf numFmtId="164" fontId="2" fillId="0" borderId="23" xfId="1" applyNumberFormat="1" applyFont="1" applyBorder="1" applyAlignment="1">
      <alignment wrapText="1"/>
    </xf>
    <xf numFmtId="1" fontId="0" fillId="18" borderId="0" xfId="1" applyNumberFormat="1" applyFont="1" applyFill="1" applyBorder="1"/>
    <xf numFmtId="1" fontId="0" fillId="18" borderId="19" xfId="1" applyNumberFormat="1" applyFont="1" applyFill="1" applyBorder="1"/>
    <xf numFmtId="1" fontId="0" fillId="20" borderId="0" xfId="1" applyNumberFormat="1" applyFont="1" applyFill="1" applyBorder="1"/>
    <xf numFmtId="1" fontId="0" fillId="20" borderId="19" xfId="1" applyNumberFormat="1" applyFont="1" applyFill="1" applyBorder="1"/>
    <xf numFmtId="0" fontId="0" fillId="20" borderId="0" xfId="1" applyNumberFormat="1" applyFont="1" applyFill="1" applyBorder="1" applyAlignment="1">
      <alignment horizontal="left" vertical="center"/>
    </xf>
    <xf numFmtId="1" fontId="0" fillId="11" borderId="0" xfId="1" applyNumberFormat="1" applyFont="1" applyFill="1" applyBorder="1"/>
    <xf numFmtId="1" fontId="0" fillId="11" borderId="19" xfId="1" applyNumberFormat="1" applyFont="1" applyFill="1" applyBorder="1"/>
    <xf numFmtId="0" fontId="0" fillId="11" borderId="0" xfId="1" applyNumberFormat="1" applyFont="1" applyFill="1" applyBorder="1" applyAlignment="1">
      <alignment horizontal="left" vertical="center"/>
    </xf>
    <xf numFmtId="0" fontId="0" fillId="26" borderId="0" xfId="1" applyNumberFormat="1" applyFont="1" applyFill="1" applyBorder="1" applyAlignment="1">
      <alignment horizontal="left" vertical="center"/>
    </xf>
    <xf numFmtId="1" fontId="0" fillId="26" borderId="0" xfId="1" applyNumberFormat="1" applyFont="1" applyFill="1" applyBorder="1"/>
    <xf numFmtId="1" fontId="0" fillId="26" borderId="19" xfId="1" applyNumberFormat="1" applyFont="1" applyFill="1" applyBorder="1"/>
    <xf numFmtId="164" fontId="0" fillId="0" borderId="0" xfId="1" applyNumberFormat="1" applyFont="1" applyBorder="1" applyAlignment="1">
      <alignment horizontal="right" wrapText="1"/>
    </xf>
    <xf numFmtId="0" fontId="0" fillId="26" borderId="0" xfId="0" applyFill="1" applyAlignment="1">
      <alignment horizontal="left" vertical="center"/>
    </xf>
    <xf numFmtId="1" fontId="0" fillId="0" borderId="0" xfId="1" applyNumberFormat="1" applyFont="1" applyFill="1" applyBorder="1"/>
    <xf numFmtId="1" fontId="0" fillId="0" borderId="19" xfId="1" applyNumberFormat="1" applyFont="1" applyFill="1" applyBorder="1"/>
    <xf numFmtId="0" fontId="0" fillId="0" borderId="26" xfId="0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0" fillId="0" borderId="2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12" xfId="1" applyNumberFormat="1" applyFont="1" applyFill="1" applyBorder="1"/>
    <xf numFmtId="0" fontId="0" fillId="0" borderId="21" xfId="1" applyNumberFormat="1" applyFont="1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6" fillId="0" borderId="0" xfId="0" applyFont="1"/>
    <xf numFmtId="0" fontId="0" fillId="0" borderId="19" xfId="0" applyBorder="1" applyAlignment="1">
      <alignment horizontal="center" vertical="center"/>
    </xf>
    <xf numFmtId="44" fontId="6" fillId="10" borderId="15" xfId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11" borderId="0" xfId="0" applyFont="1" applyFill="1" applyAlignment="1">
      <alignment horizontal="left"/>
    </xf>
    <xf numFmtId="0" fontId="0" fillId="0" borderId="0" xfId="0" applyAlignment="1">
      <alignment horizontal="center" wrapText="1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6" fillId="18" borderId="0" xfId="0" applyFont="1" applyFill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textRotation="90" wrapText="1"/>
    </xf>
    <xf numFmtId="0" fontId="4" fillId="0" borderId="18" xfId="0" applyFont="1" applyBorder="1" applyAlignment="1">
      <alignment horizontal="center" vertical="center" textRotation="90" wrapText="1"/>
    </xf>
    <xf numFmtId="44" fontId="0" fillId="0" borderId="0" xfId="1" applyFont="1" applyBorder="1" applyAlignment="1">
      <alignment vertical="center" wrapText="1"/>
    </xf>
    <xf numFmtId="44" fontId="0" fillId="0" borderId="19" xfId="1" applyFont="1" applyBorder="1" applyAlignment="1">
      <alignment vertical="center" wrapText="1"/>
    </xf>
    <xf numFmtId="0" fontId="16" fillId="20" borderId="0" xfId="0" applyFont="1" applyFill="1" applyAlignment="1">
      <alignment horizontal="left"/>
    </xf>
    <xf numFmtId="0" fontId="16" fillId="11" borderId="0" xfId="0" applyFont="1" applyFill="1" applyAlignment="1">
      <alignment horizontal="left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16" fillId="26" borderId="0" xfId="0" applyFont="1" applyFill="1" applyAlignment="1">
      <alignment horizontal="left"/>
    </xf>
    <xf numFmtId="44" fontId="0" fillId="0" borderId="0" xfId="1" applyFont="1" applyAlignment="1">
      <alignment vertical="center" wrapText="1"/>
    </xf>
    <xf numFmtId="0" fontId="4" fillId="0" borderId="0" xfId="0" applyFont="1" applyAlignment="1">
      <alignment horizontal="center" vertical="center" textRotation="90" wrapText="1"/>
    </xf>
    <xf numFmtId="0" fontId="2" fillId="15" borderId="14" xfId="0" applyFont="1" applyFill="1" applyBorder="1" applyAlignment="1">
      <alignment horizontal="center"/>
    </xf>
    <xf numFmtId="0" fontId="2" fillId="15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2" borderId="14" xfId="0" applyFont="1" applyFill="1" applyBorder="1" applyAlignment="1">
      <alignment horizontal="center"/>
    </xf>
    <xf numFmtId="0" fontId="2" fillId="21" borderId="14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2" fillId="19" borderId="14" xfId="0" applyFont="1" applyFill="1" applyBorder="1" applyAlignment="1">
      <alignment horizontal="center"/>
    </xf>
    <xf numFmtId="0" fontId="2" fillId="20" borderId="14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11" borderId="13" xfId="0" applyFont="1" applyFill="1" applyBorder="1" applyAlignment="1">
      <alignment horizontal="center"/>
    </xf>
    <xf numFmtId="0" fontId="3" fillId="11" borderId="1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11" borderId="13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44" fontId="0" fillId="0" borderId="2" xfId="1" applyFont="1" applyBorder="1" applyAlignment="1"/>
    <xf numFmtId="44" fontId="0" fillId="0" borderId="3" xfId="1" applyFont="1" applyBorder="1" applyAlignment="1"/>
    <xf numFmtId="44" fontId="0" fillId="0" borderId="4" xfId="1" applyFont="1" applyBorder="1" applyAlignment="1"/>
    <xf numFmtId="44" fontId="3" fillId="0" borderId="5" xfId="1" applyFont="1" applyBorder="1" applyAlignment="1">
      <alignment horizontal="center" vertical="center"/>
    </xf>
    <xf numFmtId="44" fontId="3" fillId="0" borderId="6" xfId="1" applyFont="1" applyBorder="1" applyAlignment="1">
      <alignment horizontal="center" vertical="center"/>
    </xf>
    <xf numFmtId="44" fontId="3" fillId="0" borderId="7" xfId="1" applyFont="1" applyBorder="1" applyAlignment="1">
      <alignment horizontal="center" vertical="center"/>
    </xf>
    <xf numFmtId="44" fontId="0" fillId="5" borderId="5" xfId="1" applyFont="1" applyFill="1" applyBorder="1" applyAlignment="1">
      <alignment horizontal="center"/>
    </xf>
    <xf numFmtId="44" fontId="0" fillId="5" borderId="6" xfId="1" applyFont="1" applyFill="1" applyBorder="1" applyAlignment="1">
      <alignment horizontal="center"/>
    </xf>
    <xf numFmtId="44" fontId="0" fillId="5" borderId="7" xfId="1" applyFont="1" applyFill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0" xfId="0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1D4FF"/>
      <color rgb="FFFFBFD6"/>
      <color rgb="FFFCDEFF"/>
      <color rgb="FFD8EDDD"/>
      <color rgb="FFEFFFCF"/>
      <color rgb="FFE3CFCF"/>
      <color rgb="FFFFB39C"/>
      <color rgb="FFFFD2C4"/>
      <color rgb="FFF9FFC9"/>
      <color rgb="FFF2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Laur's View" id="{B04E00AA-826D-4999-8BF8-DA7578958DBC}">
    <nsvFilter filterId="{9A233BEE-24B6-4419-BDCD-449C097953AA}" ref="D5:L97" tableId="1">
      <sortRules>
        <sortRule colId="1" id="{84B34641-8BB9-4A3D-87D7-0167735D1CE3}">
          <sortCondition ref="E5:E97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Laur's View" id="{FA5CC59B-A86A-4EF2-A08B-5D214D5558BA}">
    <nsvFilter filterId="{9A233BEE-24B6-4419-BDCD-449C097953AA}" ref="D4:L96" tableId="8">
      <sortRules>
        <sortRule colId="1" id="{EA360AA3-6700-40D0-AC5D-BEC69835FC9C}">
          <sortCondition ref="E4:E96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Hays" refreshedDate="45339.446531134257" createdVersion="8" refreshedVersion="8" minRefreshableVersion="3" recordCount="244" xr:uid="{B885949C-A887-D645-A109-04552362C4D0}">
  <cacheSource type="worksheet">
    <worksheetSource ref="A1:I1048576" sheet="Master Variety List"/>
  </cacheSource>
  <cacheFields count="8">
    <cacheField name="Season" numFmtId="0">
      <sharedItems containsBlank="1" count="14">
        <s v="Summer, Fall"/>
        <s v="Early Spring"/>
        <s v="Late Spring"/>
        <s v="Late Spring, Summer, Fall"/>
        <s v="Late Spring, Fall, Summer"/>
        <s v="Late Spring, Summer"/>
        <s v="Early Spring, Late Spring"/>
        <s v="Early Spring, Late Spring, Summer, Fall"/>
        <s v="Early Spring, Late Spring, Fall"/>
        <s v="Summer"/>
        <s v="Early Spring, Fall"/>
        <m/>
        <s v="Fall" u="1"/>
        <s v="Late Spring, Fall" u="1"/>
      </sharedItems>
    </cacheField>
    <cacheField name="Category" numFmtId="0">
      <sharedItems containsBlank="1" count="9">
        <s v="1 - Focal"/>
        <s v="2 - Foundation"/>
        <s v="2 -Foundation"/>
        <s v="3 - Filler"/>
        <s v="4 - Float"/>
        <s v="5 - Finisher"/>
        <s v="5 - Filler"/>
        <s v="6 - Foliage"/>
        <m/>
      </sharedItems>
    </cacheField>
    <cacheField name="Flower" numFmtId="0">
      <sharedItems containsBlank="1" count="101">
        <s v="Sunflower (M-L)"/>
        <s v="Zinnia (XL)"/>
        <s v="Dahlia (L)"/>
        <s v="Tulip - French"/>
        <s v="Tulip - Double"/>
        <s v="Tulip - Regular"/>
        <s v="Peony - Coral Charm"/>
        <s v="Peony - Dark Pink"/>
        <s v="Peony - Pink"/>
        <s v="Peony - Pale Pink/Blush"/>
        <s v="Peony - White"/>
        <s v="Delphinium"/>
        <s v="Marigold"/>
        <s v="Garden Rose"/>
        <s v="Dahlia (S)"/>
        <s v="Dahlia (M)"/>
        <s v="Strawflower"/>
        <s v="Queen Anne's / Ammi"/>
        <s v="Echinacea"/>
        <s v="Rudbeckia"/>
        <s v="Scabiosa (Fama)"/>
        <s v="Zinnia (M-L)"/>
        <s v="Lisianthus"/>
        <s v="Lupine"/>
        <s v="Snapdragon (S)"/>
        <s v="Snapdragon (L)"/>
        <s v="Celosia"/>
        <s v="Ranunculus"/>
        <s v="Anemone"/>
        <s v="Poppy - Icelandic (M-L)"/>
        <s v="Daffodil (single large flower)"/>
        <s v="Orlaya"/>
        <s v="Astilbe - Pale Pink"/>
        <s v="Astilbe - Dark Pink"/>
        <s v="Campanula"/>
        <s v="Larkspur"/>
        <s v="Lilac"/>
        <s v="Hellebore"/>
        <s v="Sunflower (S)"/>
        <s v="Daffodil (spray form)"/>
        <s v="Stock"/>
        <s v="Hydrangea (M)"/>
        <s v="Statice"/>
        <s v="Greek Oregano"/>
        <s v="Yarrow"/>
        <s v="Feverfew"/>
        <s v="Saponaria"/>
        <s v="Mock Orange"/>
        <s v="Bupleurum"/>
        <s v="Brain Celosia"/>
        <s v="Godetia"/>
        <s v="Ageratum"/>
        <s v="Verbena"/>
        <s v="Cosmos"/>
        <s v="Gomphrena"/>
        <s v="Scabiosa  "/>
        <s v="Zinnia (XS)"/>
        <s v="Scabiosa Pod"/>
        <s v="Geum"/>
        <s v="Iceland poppy (small)"/>
        <s v="Nigella"/>
        <s v="Bachelor's Buttons"/>
        <s v="Agrostemma"/>
        <s v="Amaranth"/>
        <s v="Spirea"/>
        <s v="Bleeding Heart"/>
        <s v="Jewels of Opar (3x)"/>
        <s v="Frosted Explosion Grass"/>
        <s v="Fennel"/>
        <s v="Papyrus"/>
        <s v="Allium"/>
        <s v="Dogwood Branch"/>
        <s v="Mint"/>
        <s v="Bells of Ireland"/>
        <s v="Nandina berries"/>
        <s v="Blackberry berries (unripe)"/>
        <s v="Smokebush"/>
        <s v="Viburnum"/>
        <s v="Geranium"/>
        <s v="Eucalyptus"/>
        <s v="Raspberry"/>
        <s v="Snowball Foliage"/>
        <s v="Snowberry Foliage"/>
        <s v="Honeysuckle"/>
        <s v="Privet"/>
        <s v="Euonymous"/>
        <s v="Fern"/>
        <s v="Nandina foliage"/>
        <s v="Duetzia"/>
        <s v="Pieris"/>
        <s v="Smokebush flower"/>
        <s v="Thistle"/>
        <s v="Indigo"/>
        <s v="Cress"/>
        <s v="Fruit branch (e.g., crabapple)"/>
        <s v="Basil (flowering)"/>
        <s v="Mint (flowering)"/>
        <s v="Mint (foliage)"/>
        <s v="Basil (foliage)"/>
        <m/>
        <s v="Daffodil" u="1"/>
      </sharedItems>
    </cacheField>
    <cacheField name="Retail Price" numFmtId="0">
      <sharedItems containsBlank="1" containsMixedTypes="1" containsNumber="1" minValue="1.125" maxValue="6.7124999999999995"/>
    </cacheField>
    <cacheField name="Avg. WS Price" numFmtId="0">
      <sharedItems containsBlank="1" containsMixedTypes="1" containsNumber="1" minValue="0.75" maxValue="4.4749999999999996"/>
    </cacheField>
    <cacheField name="MVFC" numFmtId="0">
      <sharedItems containsString="0" containsBlank="1" containsNumber="1" minValue="0.75" maxValue="4"/>
    </cacheField>
    <cacheField name="Potomac" numFmtId="0">
      <sharedItems containsString="0" containsBlank="1" containsNumber="1" minValue="0.8" maxValue="4.95"/>
    </cacheField>
    <cacheField name="SP Guess" numFmtId="0">
      <sharedItems containsString="0" containsBlank="1" containsNumber="1" minValue="0.75" maxValue="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x v="0"/>
    <x v="0"/>
    <n v="2.9849999999999999"/>
    <n v="1.99"/>
    <m/>
    <n v="1.99"/>
    <m/>
  </r>
  <r>
    <x v="0"/>
    <x v="0"/>
    <x v="1"/>
    <n v="2.4749999999999996"/>
    <n v="1.65"/>
    <m/>
    <m/>
    <n v="1.65"/>
  </r>
  <r>
    <x v="0"/>
    <x v="0"/>
    <x v="2"/>
    <n v="3.9000000000000004"/>
    <n v="2.6"/>
    <m/>
    <n v="2.6"/>
    <m/>
  </r>
  <r>
    <x v="1"/>
    <x v="0"/>
    <x v="3"/>
    <n v="3.75"/>
    <n v="2.5"/>
    <m/>
    <m/>
    <n v="2.5"/>
  </r>
  <r>
    <x v="1"/>
    <x v="0"/>
    <x v="4"/>
    <n v="3.75"/>
    <n v="2.5"/>
    <m/>
    <m/>
    <n v="2.5"/>
  </r>
  <r>
    <x v="1"/>
    <x v="0"/>
    <x v="5"/>
    <n v="3"/>
    <n v="2"/>
    <m/>
    <m/>
    <n v="2"/>
  </r>
  <r>
    <x v="2"/>
    <x v="0"/>
    <x v="6"/>
    <n v="5.9625000000000004"/>
    <n v="3.9750000000000001"/>
    <n v="4"/>
    <n v="3.95"/>
    <m/>
  </r>
  <r>
    <x v="2"/>
    <x v="0"/>
    <x v="7"/>
    <n v="6.7124999999999995"/>
    <n v="4.4749999999999996"/>
    <n v="4"/>
    <n v="4.95"/>
    <m/>
  </r>
  <r>
    <x v="2"/>
    <x v="0"/>
    <x v="8"/>
    <n v="4.9499999999999993"/>
    <n v="3.3"/>
    <n v="3"/>
    <n v="3.6"/>
    <m/>
  </r>
  <r>
    <x v="2"/>
    <x v="0"/>
    <x v="9"/>
    <n v="5.9625000000000004"/>
    <n v="3.9750000000000001"/>
    <n v="4"/>
    <n v="3.95"/>
    <m/>
  </r>
  <r>
    <x v="2"/>
    <x v="0"/>
    <x v="10"/>
    <n v="4.9875000000000007"/>
    <n v="3.3250000000000002"/>
    <n v="3"/>
    <n v="3.65"/>
    <m/>
  </r>
  <r>
    <x v="3"/>
    <x v="0"/>
    <x v="11"/>
    <n v="2.25"/>
    <n v="1.7"/>
    <n v="1.4"/>
    <n v="2"/>
    <m/>
  </r>
  <r>
    <x v="0"/>
    <x v="1"/>
    <x v="12"/>
    <n v="2.25"/>
    <n v="1.5"/>
    <m/>
    <m/>
    <n v="1.5"/>
  </r>
  <r>
    <x v="4"/>
    <x v="1"/>
    <x v="13"/>
    <n v="2.6850000000000001"/>
    <n v="1.79"/>
    <m/>
    <n v="1.79"/>
    <m/>
  </r>
  <r>
    <x v="0"/>
    <x v="1"/>
    <x v="14"/>
    <n v="3.1500000000000004"/>
    <n v="2.1"/>
    <m/>
    <m/>
    <n v="2.1"/>
  </r>
  <r>
    <x v="0"/>
    <x v="1"/>
    <x v="15"/>
    <n v="4.5"/>
    <n v="3"/>
    <n v="3"/>
    <m/>
    <m/>
  </r>
  <r>
    <x v="0"/>
    <x v="1"/>
    <x v="16"/>
    <n v="2.0999999999999996"/>
    <n v="1.4"/>
    <n v="1.4"/>
    <m/>
    <m/>
  </r>
  <r>
    <x v="3"/>
    <x v="1"/>
    <x v="17"/>
    <n v="1.875"/>
    <n v="1.25"/>
    <n v="1.3"/>
    <n v="1.2"/>
    <m/>
  </r>
  <r>
    <x v="0"/>
    <x v="1"/>
    <x v="18"/>
    <n v="1.5"/>
    <n v="1"/>
    <m/>
    <m/>
    <n v="1"/>
  </r>
  <r>
    <x v="5"/>
    <x v="1"/>
    <x v="19"/>
    <n v="1.7999999999999998"/>
    <n v="1.2"/>
    <n v="1.4"/>
    <m/>
    <n v="1"/>
  </r>
  <r>
    <x v="5"/>
    <x v="1"/>
    <x v="20"/>
    <n v="2.0999999999999996"/>
    <n v="1.4"/>
    <m/>
    <m/>
    <n v="1.4"/>
  </r>
  <r>
    <x v="0"/>
    <x v="1"/>
    <x v="21"/>
    <n v="1.6500000000000001"/>
    <n v="1.1000000000000001"/>
    <n v="1.2"/>
    <m/>
    <n v="1"/>
  </r>
  <r>
    <x v="0"/>
    <x v="1"/>
    <x v="22"/>
    <n v="3.3562499999999997"/>
    <n v="2.2374999999999998"/>
    <n v="1.7250000000000001"/>
    <n v="2.75"/>
    <m/>
  </r>
  <r>
    <x v="5"/>
    <x v="1"/>
    <x v="23"/>
    <n v="2.5875000000000004"/>
    <n v="1.7250000000000001"/>
    <n v="1.55"/>
    <n v="1.9"/>
    <m/>
  </r>
  <r>
    <x v="3"/>
    <x v="1"/>
    <x v="24"/>
    <n v="2.4000000000000004"/>
    <n v="1.6"/>
    <m/>
    <n v="1.6"/>
    <m/>
  </r>
  <r>
    <x v="3"/>
    <x v="1"/>
    <x v="25"/>
    <n v="3.5999999999999996"/>
    <n v="2.4"/>
    <m/>
    <n v="2.4"/>
    <m/>
  </r>
  <r>
    <x v="0"/>
    <x v="1"/>
    <x v="26"/>
    <n v="2.35"/>
    <n v="1.5666666666666667"/>
    <n v="1.4"/>
    <n v="1.8"/>
    <n v="1.5"/>
  </r>
  <r>
    <x v="6"/>
    <x v="1"/>
    <x v="27"/>
    <n v="3.0749999999999997"/>
    <n v="2.0499999999999998"/>
    <m/>
    <n v="2.0499999999999998"/>
    <m/>
  </r>
  <r>
    <x v="1"/>
    <x v="1"/>
    <x v="28"/>
    <n v="2.8499999999999996"/>
    <n v="1.9"/>
    <m/>
    <n v="1.9"/>
    <m/>
  </r>
  <r>
    <x v="6"/>
    <x v="1"/>
    <x v="29"/>
    <n v="2.25"/>
    <n v="1.5"/>
    <m/>
    <m/>
    <n v="1.5"/>
  </r>
  <r>
    <x v="1"/>
    <x v="1"/>
    <x v="30"/>
    <n v="1.875"/>
    <n v="1.25"/>
    <m/>
    <m/>
    <n v="1.25"/>
  </r>
  <r>
    <x v="1"/>
    <x v="1"/>
    <x v="31"/>
    <n v="1.5"/>
    <n v="1"/>
    <n v="1.1000000000000001"/>
    <n v="0.9"/>
    <m/>
  </r>
  <r>
    <x v="2"/>
    <x v="1"/>
    <x v="32"/>
    <n v="1.6875"/>
    <n v="1.125"/>
    <n v="0.75"/>
    <n v="1.5"/>
    <m/>
  </r>
  <r>
    <x v="2"/>
    <x v="1"/>
    <x v="33"/>
    <n v="1.875"/>
    <n v="1.25"/>
    <n v="1.1000000000000001"/>
    <n v="1.4"/>
    <m/>
  </r>
  <r>
    <x v="2"/>
    <x v="1"/>
    <x v="34"/>
    <n v="2.2125000000000004"/>
    <n v="1.4750000000000001"/>
    <n v="1.25"/>
    <n v="1.7"/>
    <m/>
  </r>
  <r>
    <x v="2"/>
    <x v="1"/>
    <x v="35"/>
    <n v="1.9500000000000002"/>
    <n v="1.3"/>
    <m/>
    <n v="1.3"/>
    <m/>
  </r>
  <r>
    <x v="2"/>
    <x v="1"/>
    <x v="36"/>
    <n v="3"/>
    <n v="2"/>
    <m/>
    <m/>
    <n v="2"/>
  </r>
  <r>
    <x v="1"/>
    <x v="1"/>
    <x v="37"/>
    <n v="3"/>
    <n v="2"/>
    <m/>
    <m/>
    <n v="2"/>
  </r>
  <r>
    <x v="0"/>
    <x v="2"/>
    <x v="38"/>
    <n v="1.5"/>
    <n v="1"/>
    <m/>
    <n v="1"/>
    <m/>
  </r>
  <r>
    <x v="1"/>
    <x v="3"/>
    <x v="39"/>
    <n v="1.875"/>
    <n v="1.25"/>
    <m/>
    <m/>
    <n v="1.25"/>
  </r>
  <r>
    <x v="6"/>
    <x v="3"/>
    <x v="40"/>
    <n v="2.1749999999999998"/>
    <n v="1.45"/>
    <n v="1.4"/>
    <n v="1.5"/>
    <m/>
  </r>
  <r>
    <x v="0"/>
    <x v="3"/>
    <x v="41"/>
    <n v="3.9950000000000001"/>
    <n v="2.6633333333333336"/>
    <n v="2.5"/>
    <n v="2.99"/>
    <n v="2.5"/>
  </r>
  <r>
    <x v="3"/>
    <x v="3"/>
    <x v="42"/>
    <n v="1.7249999999999999"/>
    <n v="1.1499999999999999"/>
    <n v="1.3"/>
    <n v="1"/>
    <m/>
  </r>
  <r>
    <x v="0"/>
    <x v="3"/>
    <x v="43"/>
    <n v="1.7999999999999998"/>
    <n v="1.2"/>
    <m/>
    <m/>
    <n v="1.2"/>
  </r>
  <r>
    <x v="5"/>
    <x v="3"/>
    <x v="44"/>
    <n v="1.6500000000000001"/>
    <n v="1.1000000000000001"/>
    <m/>
    <n v="1.1000000000000001"/>
    <m/>
  </r>
  <r>
    <x v="5"/>
    <x v="3"/>
    <x v="45"/>
    <n v="1.7999999999999998"/>
    <n v="1.2"/>
    <m/>
    <m/>
    <n v="1.2"/>
  </r>
  <r>
    <x v="6"/>
    <x v="3"/>
    <x v="46"/>
    <n v="2.25"/>
    <n v="1.5"/>
    <m/>
    <m/>
    <n v="1.5"/>
  </r>
  <r>
    <x v="2"/>
    <x v="3"/>
    <x v="47"/>
    <n v="1.9500000000000002"/>
    <n v="1.3"/>
    <n v="1.3"/>
    <m/>
    <m/>
  </r>
  <r>
    <x v="2"/>
    <x v="3"/>
    <x v="48"/>
    <n v="1.5"/>
    <n v="1"/>
    <m/>
    <n v="1"/>
    <m/>
  </r>
  <r>
    <x v="0"/>
    <x v="3"/>
    <x v="49"/>
    <n v="2.4000000000000004"/>
    <n v="1.6"/>
    <n v="1.4"/>
    <n v="1.8"/>
    <m/>
  </r>
  <r>
    <x v="2"/>
    <x v="3"/>
    <x v="50"/>
    <n v="2.25"/>
    <n v="1.5"/>
    <m/>
    <m/>
    <n v="1.5"/>
  </r>
  <r>
    <x v="0"/>
    <x v="4"/>
    <x v="51"/>
    <n v="1.9500000000000002"/>
    <n v="1.3"/>
    <n v="1.3"/>
    <m/>
    <m/>
  </r>
  <r>
    <x v="5"/>
    <x v="4"/>
    <x v="52"/>
    <n v="1.7999999999999998"/>
    <n v="1.2"/>
    <n v="1.2"/>
    <m/>
    <m/>
  </r>
  <r>
    <x v="0"/>
    <x v="4"/>
    <x v="53"/>
    <n v="2.4000000000000004"/>
    <n v="1.6"/>
    <n v="1.6"/>
    <m/>
    <m/>
  </r>
  <r>
    <x v="0"/>
    <x v="4"/>
    <x v="54"/>
    <n v="1.5750000000000002"/>
    <n v="1.05"/>
    <n v="1.3"/>
    <n v="0.8"/>
    <m/>
  </r>
  <r>
    <x v="3"/>
    <x v="4"/>
    <x v="55"/>
    <n v="2.1749999999999998"/>
    <n v="1.45"/>
    <n v="1.4"/>
    <n v="1.5"/>
    <m/>
  </r>
  <r>
    <x v="0"/>
    <x v="4"/>
    <x v="56"/>
    <n v="1.125"/>
    <n v="0.75"/>
    <m/>
    <m/>
    <n v="0.75"/>
  </r>
  <r>
    <x v="0"/>
    <x v="4"/>
    <x v="57"/>
    <n v="1.6500000000000001"/>
    <n v="1.1000000000000001"/>
    <n v="1.1000000000000001"/>
    <n v="1.1000000000000001"/>
    <m/>
  </r>
  <r>
    <x v="2"/>
    <x v="4"/>
    <x v="58"/>
    <n v="1.6949999999999998"/>
    <n v="1.1299999999999999"/>
    <n v="1.1299999999999999"/>
    <m/>
    <m/>
  </r>
  <r>
    <x v="6"/>
    <x v="4"/>
    <x v="59"/>
    <n v="1.875"/>
    <n v="1.25"/>
    <m/>
    <m/>
    <n v="1.25"/>
  </r>
  <r>
    <x v="6"/>
    <x v="4"/>
    <x v="60"/>
    <n v="2.7"/>
    <n v="1.8"/>
    <m/>
    <n v="1.8"/>
    <m/>
  </r>
  <r>
    <x v="6"/>
    <x v="4"/>
    <x v="61"/>
    <n v="1.7249999999999999"/>
    <n v="1.1499999999999999"/>
    <n v="1.1000000000000001"/>
    <n v="1.2"/>
    <m/>
  </r>
  <r>
    <x v="6"/>
    <x v="4"/>
    <x v="62"/>
    <n v="1.5"/>
    <n v="1"/>
    <m/>
    <m/>
    <n v="1"/>
  </r>
  <r>
    <x v="3"/>
    <x v="5"/>
    <x v="11"/>
    <n v="2.25"/>
    <n v="1.7"/>
    <n v="1.4"/>
    <n v="2"/>
    <m/>
  </r>
  <r>
    <x v="0"/>
    <x v="5"/>
    <x v="63"/>
    <n v="2.2574999999999998"/>
    <n v="1.5049999999999999"/>
    <n v="1.3"/>
    <n v="1.71"/>
    <m/>
  </r>
  <r>
    <x v="2"/>
    <x v="5"/>
    <x v="64"/>
    <n v="1.5750000000000002"/>
    <n v="1.05"/>
    <n v="1.1000000000000001"/>
    <n v="1"/>
    <m/>
  </r>
  <r>
    <x v="2"/>
    <x v="5"/>
    <x v="65"/>
    <n v="1.125"/>
    <n v="0.75"/>
    <n v="0.75"/>
    <m/>
    <m/>
  </r>
  <r>
    <x v="0"/>
    <x v="5"/>
    <x v="66"/>
    <n v="1.5"/>
    <n v="1"/>
    <m/>
    <m/>
    <n v="1"/>
  </r>
  <r>
    <x v="5"/>
    <x v="6"/>
    <x v="45"/>
    <n v="1.7999999999999998"/>
    <n v="1.2"/>
    <m/>
    <m/>
    <n v="1.2"/>
  </r>
  <r>
    <x v="0"/>
    <x v="5"/>
    <x v="67"/>
    <n v="1.7999999999999998"/>
    <n v="1.2"/>
    <n v="1.2"/>
    <m/>
    <m/>
  </r>
  <r>
    <x v="0"/>
    <x v="5"/>
    <x v="68"/>
    <n v="1.9500000000000002"/>
    <n v="1.3"/>
    <n v="1.3"/>
    <m/>
    <m/>
  </r>
  <r>
    <x v="7"/>
    <x v="5"/>
    <x v="69"/>
    <n v="1.6124999999999998"/>
    <n v="1.075"/>
    <n v="1.25"/>
    <n v="0.9"/>
    <m/>
  </r>
  <r>
    <x v="2"/>
    <x v="5"/>
    <x v="70"/>
    <n v="2.625"/>
    <n v="1.75"/>
    <m/>
    <m/>
    <n v="1.75"/>
  </r>
  <r>
    <x v="2"/>
    <x v="5"/>
    <x v="71"/>
    <n v="1.8000000000000003"/>
    <n v="1.2000000000000002"/>
    <n v="1.1000000000000001"/>
    <n v="1.3"/>
    <m/>
  </r>
  <r>
    <x v="2"/>
    <x v="5"/>
    <x v="46"/>
    <n v="3"/>
    <n v="2"/>
    <n v="2"/>
    <m/>
    <m/>
  </r>
  <r>
    <x v="8"/>
    <x v="5"/>
    <x v="72"/>
    <n v="1.875"/>
    <n v="1.25"/>
    <n v="1.25"/>
    <m/>
    <m/>
  </r>
  <r>
    <x v="2"/>
    <x v="5"/>
    <x v="73"/>
    <n v="1.6500000000000001"/>
    <n v="1.1000000000000001"/>
    <m/>
    <n v="1.1000000000000001"/>
    <m/>
  </r>
  <r>
    <x v="3"/>
    <x v="5"/>
    <x v="74"/>
    <n v="3.75"/>
    <n v="2.5"/>
    <m/>
    <m/>
    <n v="2.5"/>
  </r>
  <r>
    <x v="9"/>
    <x v="5"/>
    <x v="75"/>
    <n v="2.625"/>
    <n v="1.75"/>
    <m/>
    <m/>
    <n v="1.75"/>
  </r>
  <r>
    <x v="0"/>
    <x v="7"/>
    <x v="76"/>
    <n v="2.625"/>
    <n v="1.75"/>
    <m/>
    <m/>
    <n v="1.75"/>
  </r>
  <r>
    <x v="0"/>
    <x v="7"/>
    <x v="77"/>
    <n v="2.0999999999999996"/>
    <n v="1.4"/>
    <m/>
    <m/>
    <n v="1.4"/>
  </r>
  <r>
    <x v="0"/>
    <x v="7"/>
    <x v="78"/>
    <n v="2.0999999999999996"/>
    <n v="1.4"/>
    <n v="1.5"/>
    <n v="1.3"/>
    <m/>
  </r>
  <r>
    <x v="0"/>
    <x v="7"/>
    <x v="79"/>
    <n v="2.0999999999999996"/>
    <n v="1.4"/>
    <n v="1.4"/>
    <m/>
    <m/>
  </r>
  <r>
    <x v="3"/>
    <x v="7"/>
    <x v="80"/>
    <n v="2.8125"/>
    <n v="1.875"/>
    <n v="2.25"/>
    <m/>
    <n v="1.5"/>
  </r>
  <r>
    <x v="3"/>
    <x v="7"/>
    <x v="81"/>
    <n v="2.25"/>
    <n v="1.5"/>
    <n v="1.5"/>
    <m/>
    <m/>
  </r>
  <r>
    <x v="3"/>
    <x v="7"/>
    <x v="82"/>
    <n v="1.6500000000000001"/>
    <n v="1.1000000000000001"/>
    <m/>
    <n v="1.1000000000000001"/>
    <m/>
  </r>
  <r>
    <x v="7"/>
    <x v="7"/>
    <x v="83"/>
    <n v="1.9500000000000002"/>
    <n v="1.3"/>
    <n v="1.3"/>
    <m/>
    <m/>
  </r>
  <r>
    <x v="1"/>
    <x v="7"/>
    <x v="84"/>
    <n v="1.6500000000000001"/>
    <n v="1.1000000000000001"/>
    <m/>
    <m/>
    <n v="1.1000000000000001"/>
  </r>
  <r>
    <x v="6"/>
    <x v="7"/>
    <x v="85"/>
    <n v="1.6500000000000001"/>
    <n v="1.1000000000000001"/>
    <n v="1.1000000000000001"/>
    <m/>
    <m/>
  </r>
  <r>
    <x v="2"/>
    <x v="7"/>
    <x v="86"/>
    <n v="2.25"/>
    <n v="1.5"/>
    <n v="1.5"/>
    <m/>
    <m/>
  </r>
  <r>
    <x v="7"/>
    <x v="7"/>
    <x v="87"/>
    <n v="2.25"/>
    <n v="1.5"/>
    <m/>
    <m/>
    <n v="1.5"/>
  </r>
  <r>
    <x v="4"/>
    <x v="0"/>
    <x v="13"/>
    <n v="2.6850000000000001"/>
    <n v="1.79"/>
    <m/>
    <n v="1.79"/>
    <m/>
  </r>
  <r>
    <x v="0"/>
    <x v="1"/>
    <x v="12"/>
    <n v="1.6500000000000001"/>
    <n v="1.1000000000000001"/>
    <m/>
    <m/>
    <n v="1.1000000000000001"/>
  </r>
  <r>
    <x v="6"/>
    <x v="3"/>
    <x v="88"/>
    <n v="1.875"/>
    <n v="1.25"/>
    <m/>
    <m/>
    <n v="1.25"/>
  </r>
  <r>
    <x v="1"/>
    <x v="3"/>
    <x v="89"/>
    <n v="1.875"/>
    <n v="1.25"/>
    <m/>
    <m/>
    <n v="1.25"/>
  </r>
  <r>
    <x v="10"/>
    <x v="3"/>
    <x v="90"/>
    <n v="2.25"/>
    <n v="1.5"/>
    <m/>
    <m/>
    <n v="1.5"/>
  </r>
  <r>
    <x v="0"/>
    <x v="4"/>
    <x v="91"/>
    <n v="1.6500000000000001"/>
    <n v="1.1000000000000001"/>
    <m/>
    <m/>
    <n v="1.1000000000000001"/>
  </r>
  <r>
    <x v="0"/>
    <x v="1"/>
    <x v="91"/>
    <n v="1.6500000000000001"/>
    <n v="1.1000000000000001"/>
    <m/>
    <m/>
    <n v="1.1000000000000001"/>
  </r>
  <r>
    <x v="0"/>
    <x v="3"/>
    <x v="92"/>
    <n v="1.6500000000000001"/>
    <n v="1.1000000000000001"/>
    <m/>
    <m/>
    <n v="1.1000000000000001"/>
  </r>
  <r>
    <x v="0"/>
    <x v="4"/>
    <x v="92"/>
    <n v="1.6500000000000001"/>
    <n v="1.1000000000000001"/>
    <m/>
    <m/>
    <n v="1.1000000000000001"/>
  </r>
  <r>
    <x v="3"/>
    <x v="5"/>
    <x v="93"/>
    <e v="#DIV/0!"/>
    <e v="#DIV/0!"/>
    <m/>
    <m/>
    <m/>
  </r>
  <r>
    <x v="0"/>
    <x v="5"/>
    <x v="94"/>
    <e v="#DIV/0!"/>
    <e v="#DIV/0!"/>
    <m/>
    <m/>
    <m/>
  </r>
  <r>
    <x v="0"/>
    <x v="5"/>
    <x v="95"/>
    <e v="#DIV/0!"/>
    <e v="#DIV/0!"/>
    <m/>
    <m/>
    <m/>
  </r>
  <r>
    <x v="0"/>
    <x v="5"/>
    <x v="96"/>
    <e v="#DIV/0!"/>
    <e v="#DIV/0!"/>
    <m/>
    <m/>
    <m/>
  </r>
  <r>
    <x v="8"/>
    <x v="7"/>
    <x v="97"/>
    <e v="#DIV/0!"/>
    <e v="#DIV/0!"/>
    <m/>
    <m/>
    <m/>
  </r>
  <r>
    <x v="0"/>
    <x v="7"/>
    <x v="98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e v="#DIV/0!"/>
    <e v="#DIV/0!"/>
    <m/>
    <m/>
    <m/>
  </r>
  <r>
    <x v="11"/>
    <x v="8"/>
    <x v="9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58901-0CBE-9C4B-BFF5-CAD078317D0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5" firstHeaderRow="1" firstDataRow="1" firstDataCol="1" rowPageCount="1" colPageCount="1"/>
  <pivotFields count="8">
    <pivotField axis="axisPage" multipleItemSelectionAllowed="1" showAll="0">
      <items count="15">
        <item x="1"/>
        <item x="6"/>
        <item x="8"/>
        <item x="7"/>
        <item h="1" m="1" x="12"/>
        <item h="1" x="2"/>
        <item h="1" m="1" x="13"/>
        <item h="1" x="5"/>
        <item h="1" x="3"/>
        <item h="1" x="0"/>
        <item h="1" x="11"/>
        <item h="1" x="9"/>
        <item h="1" x="4"/>
        <item h="1" x="1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7"/>
        <item x="8"/>
        <item x="6"/>
        <item t="default"/>
      </items>
    </pivotField>
    <pivotField axis="axisRow" showAll="0">
      <items count="102">
        <item x="51"/>
        <item x="62"/>
        <item x="70"/>
        <item x="63"/>
        <item x="28"/>
        <item x="33"/>
        <item x="32"/>
        <item x="61"/>
        <item x="73"/>
        <item x="65"/>
        <item x="48"/>
        <item x="34"/>
        <item x="26"/>
        <item x="53"/>
        <item m="1" x="100"/>
        <item x="2"/>
        <item x="15"/>
        <item x="14"/>
        <item x="11"/>
        <item x="71"/>
        <item x="18"/>
        <item x="79"/>
        <item x="85"/>
        <item x="68"/>
        <item x="86"/>
        <item x="45"/>
        <item x="67"/>
        <item x="13"/>
        <item x="78"/>
        <item x="58"/>
        <item x="54"/>
        <item x="43"/>
        <item x="37"/>
        <item x="83"/>
        <item x="41"/>
        <item x="59"/>
        <item x="66"/>
        <item x="35"/>
        <item x="36"/>
        <item x="22"/>
        <item x="23"/>
        <item x="72"/>
        <item x="47"/>
        <item x="60"/>
        <item x="31"/>
        <item x="69"/>
        <item x="6"/>
        <item x="7"/>
        <item x="9"/>
        <item x="8"/>
        <item x="10"/>
        <item x="29"/>
        <item x="84"/>
        <item x="17"/>
        <item x="27"/>
        <item x="80"/>
        <item x="19"/>
        <item x="46"/>
        <item x="55"/>
        <item x="20"/>
        <item x="57"/>
        <item x="76"/>
        <item x="25"/>
        <item x="24"/>
        <item x="81"/>
        <item x="82"/>
        <item x="64"/>
        <item x="42"/>
        <item x="40"/>
        <item x="16"/>
        <item x="0"/>
        <item x="38"/>
        <item x="4"/>
        <item x="3"/>
        <item x="5"/>
        <item x="52"/>
        <item x="77"/>
        <item x="44"/>
        <item x="21"/>
        <item x="1"/>
        <item x="56"/>
        <item x="99"/>
        <item x="12"/>
        <item x="30"/>
        <item x="39"/>
        <item x="49"/>
        <item x="50"/>
        <item x="74"/>
        <item x="7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32">
    <i>
      <x/>
    </i>
    <i r="1">
      <x v="72"/>
    </i>
    <i r="1">
      <x v="73"/>
    </i>
    <i r="1">
      <x v="74"/>
    </i>
    <i>
      <x v="1"/>
    </i>
    <i r="1">
      <x v="4"/>
    </i>
    <i r="1">
      <x v="32"/>
    </i>
    <i r="1">
      <x v="44"/>
    </i>
    <i r="1">
      <x v="51"/>
    </i>
    <i r="1">
      <x v="54"/>
    </i>
    <i r="1">
      <x v="83"/>
    </i>
    <i>
      <x v="3"/>
    </i>
    <i r="1">
      <x v="57"/>
    </i>
    <i r="1">
      <x v="68"/>
    </i>
    <i r="1">
      <x v="84"/>
    </i>
    <i r="1">
      <x v="90"/>
    </i>
    <i r="1">
      <x v="91"/>
    </i>
    <i>
      <x v="4"/>
    </i>
    <i r="1">
      <x v="1"/>
    </i>
    <i r="1">
      <x v="7"/>
    </i>
    <i r="1">
      <x v="35"/>
    </i>
    <i r="1">
      <x v="43"/>
    </i>
    <i>
      <x v="5"/>
    </i>
    <i r="1">
      <x v="41"/>
    </i>
    <i r="1">
      <x v="45"/>
    </i>
    <i>
      <x v="6"/>
    </i>
    <i r="1">
      <x v="22"/>
    </i>
    <i r="1">
      <x v="33"/>
    </i>
    <i r="1">
      <x v="52"/>
    </i>
    <i r="1">
      <x v="89"/>
    </i>
    <i r="1">
      <x v="99"/>
    </i>
    <i t="grand">
      <x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D5962-5DD2-2E45-9817-5CEF79A2470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8" firstHeaderRow="1" firstDataRow="1" firstDataCol="1" rowPageCount="1" colPageCount="1"/>
  <pivotFields count="8">
    <pivotField axis="axisPage" multipleItemSelectionAllowed="1" showAll="0">
      <items count="15">
        <item h="1" x="1"/>
        <item x="6"/>
        <item x="8"/>
        <item x="7"/>
        <item h="1" m="1" x="12"/>
        <item x="2"/>
        <item m="1" x="13"/>
        <item x="5"/>
        <item x="3"/>
        <item h="1" x="0"/>
        <item h="1" x="11"/>
        <item h="1" x="9"/>
        <item x="4"/>
        <item h="1" x="1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7"/>
        <item x="8"/>
        <item x="6"/>
        <item t="default"/>
      </items>
    </pivotField>
    <pivotField axis="axisRow" showAll="0">
      <items count="102">
        <item x="51"/>
        <item x="62"/>
        <item x="70"/>
        <item x="63"/>
        <item x="28"/>
        <item x="33"/>
        <item x="32"/>
        <item x="61"/>
        <item x="73"/>
        <item x="65"/>
        <item x="48"/>
        <item x="34"/>
        <item x="26"/>
        <item x="53"/>
        <item m="1" x="100"/>
        <item x="2"/>
        <item x="15"/>
        <item x="14"/>
        <item x="11"/>
        <item x="71"/>
        <item x="18"/>
        <item x="79"/>
        <item x="85"/>
        <item x="68"/>
        <item x="86"/>
        <item x="45"/>
        <item x="67"/>
        <item x="13"/>
        <item x="78"/>
        <item x="58"/>
        <item x="54"/>
        <item x="43"/>
        <item x="37"/>
        <item x="83"/>
        <item x="41"/>
        <item x="59"/>
        <item x="66"/>
        <item x="35"/>
        <item x="36"/>
        <item x="22"/>
        <item x="23"/>
        <item x="72"/>
        <item x="47"/>
        <item x="60"/>
        <item x="31"/>
        <item x="69"/>
        <item x="6"/>
        <item x="7"/>
        <item x="9"/>
        <item x="8"/>
        <item x="10"/>
        <item x="29"/>
        <item x="84"/>
        <item x="17"/>
        <item x="27"/>
        <item x="80"/>
        <item x="19"/>
        <item x="46"/>
        <item x="55"/>
        <item x="20"/>
        <item x="57"/>
        <item x="76"/>
        <item x="25"/>
        <item x="24"/>
        <item x="81"/>
        <item x="82"/>
        <item x="64"/>
        <item x="42"/>
        <item x="40"/>
        <item x="16"/>
        <item x="0"/>
        <item x="38"/>
        <item x="4"/>
        <item x="3"/>
        <item x="5"/>
        <item x="52"/>
        <item x="77"/>
        <item x="44"/>
        <item x="21"/>
        <item x="1"/>
        <item x="56"/>
        <item x="99"/>
        <item x="12"/>
        <item x="30"/>
        <item x="39"/>
        <item x="49"/>
        <item x="50"/>
        <item x="74"/>
        <item x="7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65">
    <i>
      <x/>
    </i>
    <i r="1">
      <x v="18"/>
    </i>
    <i r="1">
      <x v="27"/>
    </i>
    <i r="1">
      <x v="46"/>
    </i>
    <i r="1">
      <x v="47"/>
    </i>
    <i r="1">
      <x v="48"/>
    </i>
    <i r="1">
      <x v="49"/>
    </i>
    <i r="1">
      <x v="50"/>
    </i>
    <i>
      <x v="1"/>
    </i>
    <i r="1">
      <x v="5"/>
    </i>
    <i r="1">
      <x v="6"/>
    </i>
    <i r="1">
      <x v="11"/>
    </i>
    <i r="1">
      <x v="27"/>
    </i>
    <i r="1">
      <x v="37"/>
    </i>
    <i r="1">
      <x v="38"/>
    </i>
    <i r="1">
      <x v="40"/>
    </i>
    <i r="1">
      <x v="51"/>
    </i>
    <i r="1">
      <x v="53"/>
    </i>
    <i r="1">
      <x v="54"/>
    </i>
    <i r="1">
      <x v="56"/>
    </i>
    <i r="1">
      <x v="59"/>
    </i>
    <i r="1">
      <x v="62"/>
    </i>
    <i r="1">
      <x v="63"/>
    </i>
    <i>
      <x v="3"/>
    </i>
    <i r="1">
      <x v="10"/>
    </i>
    <i r="1">
      <x v="25"/>
    </i>
    <i r="1">
      <x v="42"/>
    </i>
    <i r="1">
      <x v="57"/>
    </i>
    <i r="1">
      <x v="67"/>
    </i>
    <i r="1">
      <x v="68"/>
    </i>
    <i r="1">
      <x v="77"/>
    </i>
    <i r="1">
      <x v="86"/>
    </i>
    <i r="1">
      <x v="90"/>
    </i>
    <i>
      <x v="4"/>
    </i>
    <i r="1">
      <x v="1"/>
    </i>
    <i r="1">
      <x v="7"/>
    </i>
    <i r="1">
      <x v="29"/>
    </i>
    <i r="1">
      <x v="35"/>
    </i>
    <i r="1">
      <x v="43"/>
    </i>
    <i r="1">
      <x v="58"/>
    </i>
    <i r="1">
      <x v="75"/>
    </i>
    <i>
      <x v="5"/>
    </i>
    <i r="1">
      <x v="2"/>
    </i>
    <i r="1">
      <x v="8"/>
    </i>
    <i r="1">
      <x v="9"/>
    </i>
    <i r="1">
      <x v="18"/>
    </i>
    <i r="1">
      <x v="19"/>
    </i>
    <i r="1">
      <x v="41"/>
    </i>
    <i r="1">
      <x v="45"/>
    </i>
    <i r="1">
      <x v="57"/>
    </i>
    <i r="1">
      <x v="66"/>
    </i>
    <i r="1">
      <x v="87"/>
    </i>
    <i r="1">
      <x v="95"/>
    </i>
    <i>
      <x v="6"/>
    </i>
    <i r="1">
      <x v="22"/>
    </i>
    <i r="1">
      <x v="24"/>
    </i>
    <i r="1">
      <x v="33"/>
    </i>
    <i r="1">
      <x v="55"/>
    </i>
    <i r="1">
      <x v="64"/>
    </i>
    <i r="1">
      <x v="65"/>
    </i>
    <i r="1">
      <x v="89"/>
    </i>
    <i r="1">
      <x v="99"/>
    </i>
    <i>
      <x v="8"/>
    </i>
    <i r="1">
      <x v="25"/>
    </i>
    <i t="grand">
      <x/>
    </i>
  </rowItems>
  <colItems count="1">
    <i/>
  </colItems>
  <pageFields count="1">
    <pageField fld="0" hier="-1"/>
  </pageFields>
  <formats count="3">
    <format dxfId="134">
      <pivotArea dataOnly="0" labelOnly="1" outline="0" fieldPosition="0">
        <references count="1">
          <reference field="0" count="0"/>
        </references>
      </pivotArea>
    </format>
    <format dxfId="133">
      <pivotArea dataOnly="0" labelOnly="1" outline="0" fieldPosition="0">
        <references count="1">
          <reference field="0" count="0"/>
        </references>
      </pivotArea>
    </format>
    <format dxfId="132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E58DE-C14F-5241-BCB3-1D6E88366DE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3" firstHeaderRow="1" firstDataRow="1" firstDataCol="1" rowPageCount="1" colPageCount="1"/>
  <pivotFields count="8">
    <pivotField axis="axisPage" multipleItemSelectionAllowed="1" showAll="0">
      <items count="15">
        <item h="1" x="1"/>
        <item h="1" x="6"/>
        <item h="1" x="8"/>
        <item x="7"/>
        <item h="1" m="1" x="12"/>
        <item h="1" x="2"/>
        <item h="1" m="1" x="13"/>
        <item x="5"/>
        <item x="3"/>
        <item x="0"/>
        <item h="1" x="11"/>
        <item x="9"/>
        <item x="4"/>
        <item h="1" x="10"/>
        <item t="default"/>
      </items>
    </pivotField>
    <pivotField axis="axisRow" showAll="0" sortType="ascending">
      <items count="10">
        <item x="0"/>
        <item x="1"/>
        <item x="2"/>
        <item x="3"/>
        <item x="4"/>
        <item x="6"/>
        <item x="5"/>
        <item x="7"/>
        <item x="8"/>
        <item t="default"/>
      </items>
    </pivotField>
    <pivotField axis="axisRow" showAll="0">
      <items count="102">
        <item x="51"/>
        <item x="62"/>
        <item x="70"/>
        <item x="63"/>
        <item x="28"/>
        <item x="33"/>
        <item x="32"/>
        <item x="61"/>
        <item x="73"/>
        <item x="65"/>
        <item x="48"/>
        <item x="34"/>
        <item x="26"/>
        <item x="53"/>
        <item m="1" x="100"/>
        <item x="2"/>
        <item x="15"/>
        <item x="14"/>
        <item n="Delphinium FINISHER!" x="11"/>
        <item x="71"/>
        <item x="18"/>
        <item x="79"/>
        <item x="85"/>
        <item x="68"/>
        <item x="86"/>
        <item x="45"/>
        <item x="67"/>
        <item x="13"/>
        <item x="78"/>
        <item x="58"/>
        <item x="54"/>
        <item x="43"/>
        <item x="37"/>
        <item x="83"/>
        <item x="41"/>
        <item x="59"/>
        <item x="66"/>
        <item x="35"/>
        <item x="36"/>
        <item x="22"/>
        <item x="23"/>
        <item x="72"/>
        <item x="47"/>
        <item x="60"/>
        <item x="31"/>
        <item x="69"/>
        <item x="6"/>
        <item x="7"/>
        <item x="9"/>
        <item x="8"/>
        <item x="10"/>
        <item x="29"/>
        <item x="84"/>
        <item x="17"/>
        <item x="27"/>
        <item x="80"/>
        <item x="19"/>
        <item x="46"/>
        <item x="55"/>
        <item x="20"/>
        <item x="57"/>
        <item x="76"/>
        <item x="25"/>
        <item x="24"/>
        <item x="81"/>
        <item x="82"/>
        <item x="64"/>
        <item x="42"/>
        <item x="40"/>
        <item x="16"/>
        <item x="0"/>
        <item x="38"/>
        <item x="4"/>
        <item x="3"/>
        <item x="5"/>
        <item x="52"/>
        <item x="77"/>
        <item x="44"/>
        <item x="21"/>
        <item x="1"/>
        <item x="56"/>
        <item x="99"/>
        <item x="12"/>
        <item x="30"/>
        <item x="39"/>
        <item x="49"/>
        <item x="50"/>
        <item x="74"/>
        <item x="7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70">
    <i>
      <x/>
    </i>
    <i r="1">
      <x v="15"/>
    </i>
    <i r="1">
      <x v="18"/>
    </i>
    <i r="1">
      <x v="27"/>
    </i>
    <i r="1">
      <x v="70"/>
    </i>
    <i r="1">
      <x v="79"/>
    </i>
    <i>
      <x v="1"/>
    </i>
    <i r="1">
      <x v="12"/>
    </i>
    <i r="1">
      <x v="16"/>
    </i>
    <i r="1">
      <x v="17"/>
    </i>
    <i r="1">
      <x v="20"/>
    </i>
    <i r="1">
      <x v="27"/>
    </i>
    <i r="1">
      <x v="39"/>
    </i>
    <i r="1">
      <x v="40"/>
    </i>
    <i r="1">
      <x v="53"/>
    </i>
    <i r="1">
      <x v="56"/>
    </i>
    <i r="1">
      <x v="59"/>
    </i>
    <i r="1">
      <x v="62"/>
    </i>
    <i r="1">
      <x v="63"/>
    </i>
    <i r="1">
      <x v="69"/>
    </i>
    <i r="1">
      <x v="78"/>
    </i>
    <i r="1">
      <x v="82"/>
    </i>
    <i r="1">
      <x v="93"/>
    </i>
    <i>
      <x v="2"/>
    </i>
    <i r="1">
      <x v="71"/>
    </i>
    <i>
      <x v="3"/>
    </i>
    <i r="1">
      <x v="25"/>
    </i>
    <i r="1">
      <x v="31"/>
    </i>
    <i r="1">
      <x v="34"/>
    </i>
    <i r="1">
      <x v="67"/>
    </i>
    <i r="1">
      <x v="77"/>
    </i>
    <i r="1">
      <x v="85"/>
    </i>
    <i r="1">
      <x v="94"/>
    </i>
    <i>
      <x v="4"/>
    </i>
    <i r="1">
      <x/>
    </i>
    <i r="1">
      <x v="13"/>
    </i>
    <i r="1">
      <x v="30"/>
    </i>
    <i r="1">
      <x v="58"/>
    </i>
    <i r="1">
      <x v="60"/>
    </i>
    <i r="1">
      <x v="75"/>
    </i>
    <i r="1">
      <x v="80"/>
    </i>
    <i r="1">
      <x v="93"/>
    </i>
    <i r="1">
      <x v="94"/>
    </i>
    <i>
      <x v="5"/>
    </i>
    <i r="1">
      <x v="25"/>
    </i>
    <i>
      <x v="6"/>
    </i>
    <i r="1">
      <x v="3"/>
    </i>
    <i r="1">
      <x v="18"/>
    </i>
    <i r="1">
      <x v="23"/>
    </i>
    <i r="1">
      <x v="26"/>
    </i>
    <i r="1">
      <x v="36"/>
    </i>
    <i r="1">
      <x v="45"/>
    </i>
    <i r="1">
      <x v="87"/>
    </i>
    <i r="1">
      <x v="88"/>
    </i>
    <i r="1">
      <x v="95"/>
    </i>
    <i r="1">
      <x v="96"/>
    </i>
    <i r="1">
      <x v="97"/>
    </i>
    <i r="1">
      <x v="98"/>
    </i>
    <i>
      <x v="7"/>
    </i>
    <i r="1">
      <x v="21"/>
    </i>
    <i r="1">
      <x v="28"/>
    </i>
    <i r="1">
      <x v="33"/>
    </i>
    <i r="1">
      <x v="55"/>
    </i>
    <i r="1">
      <x v="61"/>
    </i>
    <i r="1">
      <x v="64"/>
    </i>
    <i r="1">
      <x v="65"/>
    </i>
    <i r="1">
      <x v="76"/>
    </i>
    <i r="1">
      <x v="89"/>
    </i>
    <i r="1">
      <x v="100"/>
    </i>
    <i t="grand">
      <x/>
    </i>
  </rowItems>
  <colItems count="1">
    <i/>
  </colItems>
  <pageFields count="1">
    <pageField fld="0" hier="-1"/>
  </pageFields>
  <formats count="3">
    <format dxfId="131">
      <pivotArea dataOnly="0" labelOnly="1" outline="0" fieldPosition="0">
        <references count="1">
          <reference field="0" count="0"/>
        </references>
      </pivotArea>
    </format>
    <format dxfId="130">
      <pivotArea dataOnly="0" labelOnly="1" outline="0" fieldPosition="0">
        <references count="1">
          <reference field="0" count="0"/>
        </references>
      </pivotArea>
    </format>
    <format dxfId="129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6AB1C-7E0E-B54F-8BC1-2661D91D27A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6" firstHeaderRow="1" firstDataRow="1" firstDataCol="1" rowPageCount="1" colPageCount="1"/>
  <pivotFields count="8">
    <pivotField axis="axisPage" multipleItemSelectionAllowed="1" showAll="0">
      <items count="15">
        <item h="1" x="1"/>
        <item h="1" x="6"/>
        <item x="8"/>
        <item x="7"/>
        <item m="1" x="12"/>
        <item h="1" x="2"/>
        <item m="1" x="13"/>
        <item h="1" x="5"/>
        <item x="3"/>
        <item x="0"/>
        <item h="1" x="11"/>
        <item h="1" x="9"/>
        <item x="4"/>
        <item h="1" x="1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7"/>
        <item x="8"/>
        <item x="6"/>
        <item t="default"/>
      </items>
    </pivotField>
    <pivotField axis="axisRow" showAll="0">
      <items count="102">
        <item x="51"/>
        <item x="62"/>
        <item x="70"/>
        <item x="63"/>
        <item x="28"/>
        <item x="33"/>
        <item x="32"/>
        <item x="61"/>
        <item x="73"/>
        <item x="65"/>
        <item x="48"/>
        <item x="34"/>
        <item x="26"/>
        <item x="53"/>
        <item m="1" x="100"/>
        <item x="2"/>
        <item x="15"/>
        <item x="14"/>
        <item x="11"/>
        <item x="71"/>
        <item x="18"/>
        <item x="79"/>
        <item x="85"/>
        <item x="68"/>
        <item x="86"/>
        <item x="45"/>
        <item x="67"/>
        <item x="13"/>
        <item x="78"/>
        <item x="58"/>
        <item x="54"/>
        <item x="43"/>
        <item x="37"/>
        <item x="83"/>
        <item x="41"/>
        <item x="59"/>
        <item x="66"/>
        <item x="35"/>
        <item x="36"/>
        <item x="22"/>
        <item x="23"/>
        <item x="72"/>
        <item x="47"/>
        <item x="60"/>
        <item x="31"/>
        <item x="69"/>
        <item x="6"/>
        <item x="7"/>
        <item x="9"/>
        <item x="8"/>
        <item x="10"/>
        <item x="29"/>
        <item x="84"/>
        <item x="17"/>
        <item x="27"/>
        <item x="80"/>
        <item x="19"/>
        <item x="46"/>
        <item x="55"/>
        <item x="20"/>
        <item x="57"/>
        <item x="76"/>
        <item x="25"/>
        <item x="24"/>
        <item x="81"/>
        <item x="82"/>
        <item x="64"/>
        <item x="42"/>
        <item x="40"/>
        <item x="16"/>
        <item x="0"/>
        <item x="38"/>
        <item x="4"/>
        <item x="3"/>
        <item x="5"/>
        <item x="52"/>
        <item x="77"/>
        <item x="44"/>
        <item x="21"/>
        <item x="1"/>
        <item x="56"/>
        <item x="99"/>
        <item x="12"/>
        <item x="30"/>
        <item x="39"/>
        <item x="49"/>
        <item x="50"/>
        <item x="74"/>
        <item x="7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63">
    <i>
      <x/>
    </i>
    <i r="1">
      <x v="15"/>
    </i>
    <i r="1">
      <x v="18"/>
    </i>
    <i r="1">
      <x v="27"/>
    </i>
    <i r="1">
      <x v="70"/>
    </i>
    <i r="1">
      <x v="79"/>
    </i>
    <i>
      <x v="1"/>
    </i>
    <i r="1">
      <x v="12"/>
    </i>
    <i r="1">
      <x v="16"/>
    </i>
    <i r="1">
      <x v="17"/>
    </i>
    <i r="1">
      <x v="20"/>
    </i>
    <i r="1">
      <x v="27"/>
    </i>
    <i r="1">
      <x v="39"/>
    </i>
    <i r="1">
      <x v="53"/>
    </i>
    <i r="1">
      <x v="62"/>
    </i>
    <i r="1">
      <x v="63"/>
    </i>
    <i r="1">
      <x v="69"/>
    </i>
    <i r="1">
      <x v="78"/>
    </i>
    <i r="1">
      <x v="82"/>
    </i>
    <i r="1">
      <x v="93"/>
    </i>
    <i>
      <x v="2"/>
    </i>
    <i r="1">
      <x v="71"/>
    </i>
    <i>
      <x v="3"/>
    </i>
    <i r="1">
      <x v="31"/>
    </i>
    <i r="1">
      <x v="34"/>
    </i>
    <i r="1">
      <x v="67"/>
    </i>
    <i r="1">
      <x v="85"/>
    </i>
    <i r="1">
      <x v="94"/>
    </i>
    <i>
      <x v="4"/>
    </i>
    <i r="1">
      <x/>
    </i>
    <i r="1">
      <x v="13"/>
    </i>
    <i r="1">
      <x v="30"/>
    </i>
    <i r="1">
      <x v="58"/>
    </i>
    <i r="1">
      <x v="60"/>
    </i>
    <i r="1">
      <x v="80"/>
    </i>
    <i r="1">
      <x v="93"/>
    </i>
    <i r="1">
      <x v="94"/>
    </i>
    <i>
      <x v="5"/>
    </i>
    <i r="1">
      <x v="3"/>
    </i>
    <i r="1">
      <x v="18"/>
    </i>
    <i r="1">
      <x v="23"/>
    </i>
    <i r="1">
      <x v="26"/>
    </i>
    <i r="1">
      <x v="36"/>
    </i>
    <i r="1">
      <x v="41"/>
    </i>
    <i r="1">
      <x v="45"/>
    </i>
    <i r="1">
      <x v="87"/>
    </i>
    <i r="1">
      <x v="95"/>
    </i>
    <i r="1">
      <x v="96"/>
    </i>
    <i r="1">
      <x v="97"/>
    </i>
    <i r="1">
      <x v="98"/>
    </i>
    <i>
      <x v="6"/>
    </i>
    <i r="1">
      <x v="21"/>
    </i>
    <i r="1">
      <x v="28"/>
    </i>
    <i r="1">
      <x v="33"/>
    </i>
    <i r="1">
      <x v="55"/>
    </i>
    <i r="1">
      <x v="61"/>
    </i>
    <i r="1">
      <x v="64"/>
    </i>
    <i r="1">
      <x v="65"/>
    </i>
    <i r="1">
      <x v="76"/>
    </i>
    <i r="1">
      <x v="89"/>
    </i>
    <i r="1">
      <x v="99"/>
    </i>
    <i r="1">
      <x v="100"/>
    </i>
    <i t="grand">
      <x/>
    </i>
  </rowItems>
  <colItems count="1">
    <i/>
  </colItems>
  <pageFields count="1">
    <pageField fld="0" hier="-1"/>
  </pageFields>
  <formats count="3">
    <format dxfId="128">
      <pivotArea dataOnly="0" labelOnly="1" outline="0" fieldPosition="0">
        <references count="1">
          <reference field="0" count="0"/>
        </references>
      </pivotArea>
    </format>
    <format dxfId="127">
      <pivotArea dataOnly="0" labelOnly="1" outline="0" fieldPosition="0">
        <references count="1">
          <reference field="0" count="0"/>
        </references>
      </pivotArea>
    </format>
    <format dxfId="126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FB889B-362F-FA4D-9D4D-A49BD91E0CC2}" name="Table31615" displayName="Table31615" ref="A1:K297" totalsRowShown="0" headerRowDxfId="143" dataDxfId="142" tableBorderDxfId="141" headerRowCellStyle="Currency" dataCellStyle="Currency">
  <autoFilter ref="A1:K297" xr:uid="{63FB889B-362F-FA4D-9D4D-A49BD91E0CC2}"/>
  <sortState xmlns:xlrd2="http://schemas.microsoft.com/office/spreadsheetml/2017/richdata2" ref="A2:K297">
    <sortCondition ref="C1:C297"/>
  </sortState>
  <tableColumns count="11">
    <tableColumn id="1" xr3:uid="{CD3DACDE-DD55-C44F-80CC-C1C7B474F6D3}" name="Season"/>
    <tableColumn id="2" xr3:uid="{DBA172E2-8431-EC47-B9D8-6361FEE37D42}" name="Category"/>
    <tableColumn id="3" xr3:uid="{83CE9A09-95B5-F04C-8492-7244585330E4}" name="Flower"/>
    <tableColumn id="4" xr3:uid="{C758352C-13AC-F646-8507-0FD80CF3E423}" name="Retail Price" dataDxfId="140" dataCellStyle="Currency">
      <calculatedColumnFormula>E2*(1+$O$1)</calculatedColumnFormula>
    </tableColumn>
    <tableColumn id="5" xr3:uid="{7ECA39AF-EB51-F34D-A089-3FEE70DE5DCE}" name="Avg. WS Price" dataDxfId="139" dataCellStyle="Currency">
      <calculatedColumnFormula>AVERAGE(G2:Q2)</calculatedColumnFormula>
    </tableColumn>
    <tableColumn id="11" xr3:uid="{5A8B6832-91CA-234E-AA8E-FCA684006057}" name="Standard Deviation" dataDxfId="1" dataCellStyle="Currency">
      <calculatedColumnFormula>STDEV(G2:Q2)</calculatedColumnFormula>
    </tableColumn>
    <tableColumn id="6" xr3:uid="{DFF644E6-B56F-6048-9905-A24628EB167D}" name="MVFC" dataDxfId="138" dataCellStyle="Currency"/>
    <tableColumn id="7" xr3:uid="{345313D3-33E8-CA40-B2C1-3D9A08F80274}" name="Potomac" dataDxfId="137" dataCellStyle="Currency"/>
    <tableColumn id="8" xr3:uid="{D955DC74-8478-5C4E-B2B8-BDEBE2384447}" name="SP Guess" dataDxfId="136" dataCellStyle="Currency"/>
    <tableColumn id="9" xr3:uid="{4BBCD0BE-FEA5-4894-A864-F878C5B9271E}" name="USDA W/S" dataDxfId="135" dataCellStyle="Currency"/>
    <tableColumn id="10" xr3:uid="{B1CBB437-FBEC-4FA1-B5AA-5D5CC59904BA}" name="Global Rose" dataDxfId="0" dataCellStyle="Curr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67546DE-39AD-4F02-B5A6-2431555638D9}" name="Table316" displayName="Table316" ref="D33:K44" totalsRowShown="0" headerRowDxfId="125" dataDxfId="124" tableBorderDxfId="123" headerRowCellStyle="Currency" dataCellStyle="Currency">
  <autoFilter ref="D33:K44" xr:uid="{B67546DE-39AD-4F02-B5A6-2431555638D9}"/>
  <tableColumns count="8">
    <tableColumn id="1" xr3:uid="{032593D5-1065-4899-B4E0-D137F7DF41FC}" name="Season"/>
    <tableColumn id="2" xr3:uid="{C2B8EEBE-F251-419A-B9DA-D68B6772D2F8}" name="Category"/>
    <tableColumn id="3" xr3:uid="{9B308748-FFEC-47AA-A7F4-C77612FD011B}" name="Flower"/>
    <tableColumn id="4" xr3:uid="{DE7BE091-333F-40ED-88A5-F656223D2916}" name="Retail Price" dataDxfId="122" dataCellStyle="Currency">
      <calculatedColumnFormula>H34*(1+$E$1)</calculatedColumnFormula>
    </tableColumn>
    <tableColumn id="5" xr3:uid="{47E6F6A6-BCE0-4B90-8DCF-F60188C5EC9F}" name="Avg. WS Price" dataDxfId="121" dataCellStyle="Currency">
      <calculatedColumnFormula>AVERAGE(I34:K34)</calculatedColumnFormula>
    </tableColumn>
    <tableColumn id="6" xr3:uid="{F7EB9EAE-23F7-4359-AAE5-B158C5F164E9}" name="MVFC" dataDxfId="120" dataCellStyle="Currency"/>
    <tableColumn id="7" xr3:uid="{E86B16FD-4A68-4CC0-948B-0B3D5B6922F0}" name="Potomac" dataDxfId="119" dataCellStyle="Currency"/>
    <tableColumn id="8" xr3:uid="{AC64A51C-94E8-493B-8968-B91766966F5C}" name="SP Guess" dataDxfId="118" dataCellStyle="Currenc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33BEE-24B6-4419-BDCD-449C097953AA}" name="Table1" displayName="Table1" ref="D5:L97" totalsRowShown="0" headerRowDxfId="117" dataDxfId="116" tableBorderDxfId="115" headerRowCellStyle="Currency" dataCellStyle="Currency">
  <autoFilter ref="D5:L97" xr:uid="{9A233BEE-24B6-4419-BDCD-449C097953AA}"/>
  <sortState xmlns:xlrd2="http://schemas.microsoft.com/office/spreadsheetml/2017/richdata2" ref="D6:K86">
    <sortCondition ref="E5:E86"/>
  </sortState>
  <tableColumns count="9">
    <tableColumn id="1" xr3:uid="{D3773AE8-68FF-499C-AFF3-05136DD78A04}" name="Season" dataDxfId="114"/>
    <tableColumn id="2" xr3:uid="{84B34641-8BB9-4A3D-87D7-0167735D1CE3}" name="Category" dataDxfId="113"/>
    <tableColumn id="3" xr3:uid="{FB55A36D-F2DD-4C77-96B1-EC38075585C6}" name="Flower" dataDxfId="112"/>
    <tableColumn id="4" xr3:uid="{7F9B2DFE-64FF-4E08-A011-EAC5E6FCBD07}" name="Retail Price" dataDxfId="111" dataCellStyle="Currency"/>
    <tableColumn id="5" xr3:uid="{C7BF18A2-7C8C-4155-92F0-91A2BFB7B7A6}" name="Avg. WS Price" dataDxfId="110" dataCellStyle="Currency">
      <calculatedColumnFormula>AVERAGE(I6:K6)</calculatedColumnFormula>
    </tableColumn>
    <tableColumn id="6" xr3:uid="{0B97D7A0-2478-40A2-9225-76A17E938726}" name="MVFC" dataDxfId="109" dataCellStyle="Currency"/>
    <tableColumn id="7" xr3:uid="{B65032C9-0E98-4E9B-A916-EB61753BF4E2}" name="Potomac" dataDxfId="108" dataCellStyle="Currency"/>
    <tableColumn id="9" xr3:uid="{4377BD65-8B4D-4975-9735-5D6D8CFE2225}" name="SP Guess" dataDxfId="107" dataCellStyle="Currency"/>
    <tableColumn id="8" xr3:uid="{A24ABB01-1B64-4026-B40B-6C634CF4552A}" name="asdf" dataDxfId="106" dataCellStyle="Currenc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77A54F-AD2B-45A1-AD4D-7951514B168D}" name="Table3" displayName="Table3" ref="D100:K111" totalsRowShown="0" headerRowDxfId="105" dataDxfId="104" tableBorderDxfId="103" headerRowCellStyle="Currency" dataCellStyle="Currency">
  <autoFilter ref="D100:K111" xr:uid="{B377A54F-AD2B-45A1-AD4D-7951514B168D}"/>
  <tableColumns count="8">
    <tableColumn id="1" xr3:uid="{590446E8-3E2C-45D2-99D6-89B40E33832F}" name="Season"/>
    <tableColumn id="2" xr3:uid="{66D53F71-AEB5-4096-A0F4-F110F06FB528}" name="Category"/>
    <tableColumn id="3" xr3:uid="{4421B4FB-5A4B-45EE-8606-D0B288432A89}" name="Flower"/>
    <tableColumn id="4" xr3:uid="{AF41459F-4BB3-4199-B73A-EC3FB7D7AA78}" name="Retail Price" dataDxfId="102" dataCellStyle="Currency">
      <calculatedColumnFormula>H101*(1+$F$3)</calculatedColumnFormula>
    </tableColumn>
    <tableColumn id="5" xr3:uid="{75C57A82-E398-4C3C-ACBA-D1C0A52950D0}" name="Avg. WS Price" dataDxfId="101" dataCellStyle="Currency">
      <calculatedColumnFormula>AVERAGE(I101:K101)</calculatedColumnFormula>
    </tableColumn>
    <tableColumn id="6" xr3:uid="{DEC53F6B-74A0-4FDB-A17A-376BE3248F4C}" name="MVFC" dataDxfId="100" dataCellStyle="Currency"/>
    <tableColumn id="7" xr3:uid="{9521DBC9-EE01-42DB-B35A-839B5BFC21E7}" name="Potomac" dataDxfId="99" dataCellStyle="Currency"/>
    <tableColumn id="8" xr3:uid="{DF3762E8-A994-451F-BD9A-421D5AE1C745}" name="SP Guess" dataDxfId="98" dataCellStyle="Currency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BF4A85-E0E9-4E55-B5D5-B5CF5E911071}" name="Table4" displayName="Table4" ref="D117:K147" totalsRowShown="0" headerRowDxfId="97" dataDxfId="96" tableBorderDxfId="95" headerRowCellStyle="Currency" dataCellStyle="Currency">
  <autoFilter ref="D117:K147" xr:uid="{D5BF4A85-E0E9-4E55-B5D5-B5CF5E911071}"/>
  <tableColumns count="8">
    <tableColumn id="1" xr3:uid="{35A0805D-1DA5-4378-8B23-DE8653F7D16F}" name="Season" dataDxfId="94"/>
    <tableColumn id="2" xr3:uid="{DAAB1FD9-5D88-434F-BE7C-6C088D035209}" name="Category" dataDxfId="93"/>
    <tableColumn id="3" xr3:uid="{79FE17E7-3E57-49D6-AD78-AB5B2D59F111}" name="Flower" dataDxfId="92"/>
    <tableColumn id="4" xr3:uid="{EE20C92C-5540-4C1E-A464-85E973BB5371}" name="Retail Price" dataDxfId="91" dataCellStyle="Currency">
      <calculatedColumnFormula>H118*(1+$F$3)</calculatedColumnFormula>
    </tableColumn>
    <tableColumn id="5" xr3:uid="{D9F9E0C8-0656-4DCF-9184-F245DCBD3CC6}" name="Avg. WS Price" dataDxfId="90" dataCellStyle="Currency">
      <calculatedColumnFormula>AVERAGE(I118:K118)</calculatedColumnFormula>
    </tableColumn>
    <tableColumn id="6" xr3:uid="{61E0149F-E275-47A9-89F8-9C9E4F1E32B0}" name="MVFC" dataDxfId="89" dataCellStyle="Currency"/>
    <tableColumn id="7" xr3:uid="{C2ED3954-B727-4673-B50A-6C38ACFD7BC1}" name="Potomac" dataDxfId="88" dataCellStyle="Currency"/>
    <tableColumn id="8" xr3:uid="{CDA9C52D-704B-4E84-BEFE-45D79FDD6D3D}" name="SP Guess" dataDxfId="87" dataCellStyle="Currenc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824BE3-1537-4A18-BD7D-DCF2E053F03D}" name="Table5" displayName="Table5" ref="D153:K161" totalsRowShown="0" headerRowDxfId="86" dataDxfId="85" tableBorderDxfId="84" headerRowCellStyle="Currency" dataCellStyle="Currency">
  <autoFilter ref="D153:K161" xr:uid="{DA824BE3-1537-4A18-BD7D-DCF2E053F03D}"/>
  <tableColumns count="8">
    <tableColumn id="1" xr3:uid="{2662DE64-D12E-4CB1-AF2C-4A33FCCB94DD}" name="Season"/>
    <tableColumn id="2" xr3:uid="{44C1777E-6103-4B5F-8E06-45561D6AF5FC}" name="Category"/>
    <tableColumn id="3" xr3:uid="{CC58DA49-F1BC-4393-9C8D-F0C1E57C153E}" name="Flower"/>
    <tableColumn id="4" xr3:uid="{2AF7A31E-9A9B-4E5B-9812-944999B92ADD}" name="Retail Price" dataDxfId="83" dataCellStyle="Currency">
      <calculatedColumnFormula>H154*(1+$F$3)</calculatedColumnFormula>
    </tableColumn>
    <tableColumn id="5" xr3:uid="{93CC46AB-74EE-4611-99FB-88696A62ECD3}" name="Avg. WS Price" dataDxfId="82" dataCellStyle="Currency">
      <calculatedColumnFormula>AVERAGE(I154:K154)</calculatedColumnFormula>
    </tableColumn>
    <tableColumn id="6" xr3:uid="{4B67718B-FFCC-4DF1-9D64-EF4D1E63DD53}" name="MVFC" dataDxfId="81" dataCellStyle="Currency"/>
    <tableColumn id="7" xr3:uid="{A3ED8494-9191-4EFF-9C4A-E6C5D67D2783}" name="Potomac" dataDxfId="80" dataCellStyle="Currency"/>
    <tableColumn id="8" xr3:uid="{F2B7E2D6-9034-4BA7-A6D4-BC73798A8E93}" name="SP Guess" dataDxfId="7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E4E98-A24B-4C73-9A99-CD58B1936D0B}" name="Table6" displayName="Table6" ref="D167:K181" totalsRowShown="0" headerRowDxfId="78" dataDxfId="77" tableBorderDxfId="76" headerRowCellStyle="Currency" dataCellStyle="Currency">
  <autoFilter ref="D167:K181" xr:uid="{B1FE4E98-A24B-4C73-9A99-CD58B1936D0B}"/>
  <tableColumns count="8">
    <tableColumn id="1" xr3:uid="{C8CA8D9F-C40C-4B1F-844C-1E5638AAD17D}" name="Season"/>
    <tableColumn id="2" xr3:uid="{16D4CD84-4328-419A-8B8E-11CB7394E271}" name="Category"/>
    <tableColumn id="3" xr3:uid="{CA3CFFD0-C771-4223-99FC-7E6C961BBFE7}" name="Flower"/>
    <tableColumn id="4" xr3:uid="{9E84BB30-388E-488C-8868-2FCEE099A92F}" name="Retail Price" dataDxfId="75" dataCellStyle="Currency">
      <calculatedColumnFormula>H168*(1+$F$3)</calculatedColumnFormula>
    </tableColumn>
    <tableColumn id="5" xr3:uid="{39F1800C-52EA-4BB0-BA1F-D386B4753E96}" name="Avg. WS Price" dataDxfId="74" dataCellStyle="Currency">
      <calculatedColumnFormula>AVERAGE(I168:K168)</calculatedColumnFormula>
    </tableColumn>
    <tableColumn id="6" xr3:uid="{073C7B41-939B-4E94-99C6-E88615D2E32F}" name="MVFC" dataDxfId="73" dataCellStyle="Currency"/>
    <tableColumn id="7" xr3:uid="{44DBB176-FA8A-4BC5-AD1C-314DA47E2322}" name="Potomac" dataDxfId="72" dataCellStyle="Currency"/>
    <tableColumn id="8" xr3:uid="{72679EA0-76F4-4B64-BAE9-E2209E4F7CF0}" name="SP Guess" dataDxfId="7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D26DF5-85D3-43FB-BDC2-3D10D1A40C7E}" name="Table7" displayName="Table7" ref="D201:K213" totalsRowShown="0" headerRowDxfId="70" dataDxfId="69" tableBorderDxfId="68" headerRowCellStyle="Currency" dataCellStyle="Currency">
  <autoFilter ref="D201:K213" xr:uid="{1DD26DF5-85D3-43FB-BDC2-3D10D1A40C7E}"/>
  <tableColumns count="8">
    <tableColumn id="1" xr3:uid="{692312B0-652E-4A02-ACAC-44D5CA60C018}" name="Season"/>
    <tableColumn id="2" xr3:uid="{FDCD9050-265A-4B21-966B-C4636910D4B6}" name="Category"/>
    <tableColumn id="3" xr3:uid="{EC99AB30-E322-4FFF-BEF8-1C60205306D2}" name="Flower"/>
    <tableColumn id="4" xr3:uid="{6F1C95AF-DA4D-46EA-9E3E-40953124AF08}" name="Retail Price" dataDxfId="67" dataCellStyle="Currency">
      <calculatedColumnFormula>H202*(1+$F$3)</calculatedColumnFormula>
    </tableColumn>
    <tableColumn id="5" xr3:uid="{853120B1-D1DB-4A15-A4D9-E0C3B4702069}" name="Avg. WS Price" dataDxfId="66" dataCellStyle="Currency">
      <calculatedColumnFormula>AVERAGE(I202:K202)</calculatedColumnFormula>
    </tableColumn>
    <tableColumn id="6" xr3:uid="{697E2013-DCA0-4E01-A427-3A559E58E807}" name="MVFC" dataDxfId="65" dataCellStyle="Currency"/>
    <tableColumn id="7" xr3:uid="{F85532D6-C16B-4D29-B3D8-70354934B4B2}" name="Potomac" dataDxfId="64" dataCellStyle="Currency"/>
    <tableColumn id="8" xr3:uid="{32060A5D-3269-48BF-8DEB-20F24B8F3F08}" name="SP Guess" dataDxfId="6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0CE2DB-4F31-4D86-94F2-0C2DB1A2C079}" name="Table2" displayName="Table2" ref="B2:H93" totalsRowShown="0" headerRowDxfId="62" dataDxfId="61">
  <autoFilter ref="B2:H93" xr:uid="{B70CE2DB-4F31-4D86-94F2-0C2DB1A2C079}"/>
  <sortState xmlns:xlrd2="http://schemas.microsoft.com/office/spreadsheetml/2017/richdata2" ref="B3:H93">
    <sortCondition ref="B2:B93"/>
  </sortState>
  <tableColumns count="7">
    <tableColumn id="1" xr3:uid="{4F02583E-607A-4318-8576-DF7C994F87AF}" name="Column1"/>
    <tableColumn id="2" xr3:uid="{18D3AA95-F34F-42FE-9ED2-02A31D9D9014}" name="Season"/>
    <tableColumn id="3" xr3:uid="{C8D4404C-0583-4DAF-8608-411D6254EB0E}" name="Notes For Next Year" dataDxfId="60"/>
    <tableColumn id="4" xr3:uid="{D33894FB-1A36-4476-ABE1-48C6BA06B1C0}" name="Season2" dataDxfId="59"/>
    <tableColumn id="5" xr3:uid="{B31ABE92-D85F-4FC3-86C7-96C31E3409CF}" name="Category" dataDxfId="58"/>
    <tableColumn id="6" xr3:uid="{E002EAD3-99F4-44C1-9A13-8E1F028818CF}" name="Flower" dataDxfId="57"/>
    <tableColumn id="7" xr3:uid="{5530B942-68D6-4279-BB8A-ADBAE89F85FD}" name="Column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B78209-6510-4B03-BE9E-D3A5B109F09F}" name="Table19" displayName="Table19" ref="D4:L96" totalsRowShown="0" headerRowDxfId="56" dataDxfId="55" tableBorderDxfId="54" headerRowCellStyle="Currency" dataCellStyle="Currency">
  <autoFilter ref="D4:L96" xr:uid="{9A233BEE-24B6-4419-BDCD-449C097953AA}"/>
  <sortState xmlns:xlrd2="http://schemas.microsoft.com/office/spreadsheetml/2017/richdata2" ref="D5:K85">
    <sortCondition ref="E4:E85"/>
  </sortState>
  <tableColumns count="9">
    <tableColumn id="1" xr3:uid="{59EF57DB-313A-44B2-BEA5-304DBA27CEBB}" name="Season" dataDxfId="53"/>
    <tableColumn id="2" xr3:uid="{EA360AA3-6700-40D0-AC5D-BEC69835FC9C}" name="Category" dataDxfId="52"/>
    <tableColumn id="3" xr3:uid="{191E2D0B-E925-4512-838F-53CAEE723C9D}" name="Flower" dataDxfId="51"/>
    <tableColumn id="4" xr3:uid="{1D1354F9-4F9D-4AB6-BC9C-DBFAD615B7A3}" name="Retail Price" dataDxfId="50" dataCellStyle="Currency"/>
    <tableColumn id="5" xr3:uid="{BCF56D4F-2369-4ABE-966D-B7C3DA4474D9}" name="Avg. WS Price" dataDxfId="49" dataCellStyle="Currency">
      <calculatedColumnFormula>AVERAGE(I5:K5)</calculatedColumnFormula>
    </tableColumn>
    <tableColumn id="6" xr3:uid="{724275FE-BC29-405B-9BEF-9B440983E33E}" name="MVFC" dataDxfId="48" dataCellStyle="Currency"/>
    <tableColumn id="7" xr3:uid="{7973B31D-D088-4367-BD31-2E6956BC0329}" name="Potomac" dataDxfId="47" dataCellStyle="Currency"/>
    <tableColumn id="9" xr3:uid="{4DDC6BA9-BA54-4FFF-AE6D-3AB99D2E937E}" name="SP Guess" dataDxfId="46" dataCellStyle="Currency"/>
    <tableColumn id="8" xr3:uid="{94D94C2D-5FDF-4251-89D7-1BD34FD7E080}" name="asdf" dataDxfId="45" dataCellStyle="Currency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CB0F25-E768-4A7B-AC9D-059736E98F70}" name="Table310" displayName="Table310" ref="D99:K110" totalsRowShown="0" headerRowDxfId="44" dataDxfId="43" tableBorderDxfId="42" headerRowCellStyle="Currency" dataCellStyle="Currency">
  <autoFilter ref="D99:K110" xr:uid="{B377A54F-AD2B-45A1-AD4D-7951514B168D}"/>
  <tableColumns count="8">
    <tableColumn id="1" xr3:uid="{232BB38A-4F4C-4FA3-9A6C-274465CEC2DD}" name="Season"/>
    <tableColumn id="2" xr3:uid="{B181CE0B-1738-44CA-B43B-784326095D02}" name="Category"/>
    <tableColumn id="3" xr3:uid="{AEE83F14-E97F-4E4F-A4F9-0AC3D081DE99}" name="Flower"/>
    <tableColumn id="4" xr3:uid="{125E53AE-8A7D-4E2A-B10C-2CC35E5B4EF5}" name="Retail Price" dataDxfId="41" dataCellStyle="Currency">
      <calculatedColumnFormula>H100*(1+$F$2)</calculatedColumnFormula>
    </tableColumn>
    <tableColumn id="5" xr3:uid="{6FB39746-809F-421D-8066-B11831144B4A}" name="Avg. WS Price" dataDxfId="40" dataCellStyle="Currency">
      <calculatedColumnFormula>AVERAGE(I100:K100)</calculatedColumnFormula>
    </tableColumn>
    <tableColumn id="6" xr3:uid="{3FBFCCE1-3A0A-406F-8BD6-D8D4C33B791A}" name="MVFC" dataDxfId="39" dataCellStyle="Currency"/>
    <tableColumn id="7" xr3:uid="{3C7E26FC-0B9B-4716-83CC-975827A1ADDA}" name="Potomac" dataDxfId="38" dataCellStyle="Currency"/>
    <tableColumn id="8" xr3:uid="{9C4B55C9-C501-463B-9CBA-758A13270096}" name="SP Guess" dataDxfId="37" dataCellStyle="Currency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EA7537-5BD4-4861-8FC7-4AD47EEBCC49}" name="Table411" displayName="Table411" ref="D116:K146" totalsRowShown="0" headerRowDxfId="36" dataDxfId="35" tableBorderDxfId="34" headerRowCellStyle="Currency" dataCellStyle="Currency">
  <autoFilter ref="D116:K146" xr:uid="{D5BF4A85-E0E9-4E55-B5D5-B5CF5E911071}"/>
  <tableColumns count="8">
    <tableColumn id="1" xr3:uid="{CD69E4EB-3D9B-4EEB-9C10-A29E71FF137A}" name="Season" dataDxfId="33"/>
    <tableColumn id="2" xr3:uid="{8F3DBFEB-BD1D-46F6-9B4F-7F015A6031C0}" name="Category" dataDxfId="32"/>
    <tableColumn id="3" xr3:uid="{D0FD1A08-5B2D-4CAB-8810-040E712756D3}" name="Flower" dataDxfId="31"/>
    <tableColumn id="4" xr3:uid="{78173738-53B9-4C5A-9C23-DD620AC7BD36}" name="Retail Price" dataDxfId="30" dataCellStyle="Currency">
      <calculatedColumnFormula>H117*(1+$F$2)</calculatedColumnFormula>
    </tableColumn>
    <tableColumn id="5" xr3:uid="{DC3377A8-0441-4E62-A054-F3D5102B2984}" name="Avg. WS Price" dataDxfId="29" dataCellStyle="Currency">
      <calculatedColumnFormula>AVERAGE(I117:K117)</calculatedColumnFormula>
    </tableColumn>
    <tableColumn id="6" xr3:uid="{D89DA078-60DE-4C63-B23A-24E43A2D459B}" name="MVFC" dataDxfId="28" dataCellStyle="Currency"/>
    <tableColumn id="7" xr3:uid="{9A780532-1E1C-4616-8899-1E355A7AEBE4}" name="Potomac" dataDxfId="27" dataCellStyle="Currency"/>
    <tableColumn id="8" xr3:uid="{F64009C2-177D-4CBE-B5B3-FE12EB0C12C3}" name="SP Guess" dataDxfId="26" dataCellStyle="Currency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3602D3-7D18-4FEF-9225-E801BA1BB615}" name="Table512" displayName="Table512" ref="D152:K157" totalsRowShown="0" headerRowDxfId="25" dataDxfId="24" tableBorderDxfId="23" headerRowCellStyle="Currency" dataCellStyle="Currency">
  <autoFilter ref="D152:K157" xr:uid="{DA824BE3-1537-4A18-BD7D-DCF2E053F03D}"/>
  <tableColumns count="8">
    <tableColumn id="1" xr3:uid="{59C7D47D-6036-4F09-B766-FCC05B1DFFE9}" name="Season"/>
    <tableColumn id="2" xr3:uid="{720531F8-A19C-4030-9895-CF894910292D}" name="Category"/>
    <tableColumn id="3" xr3:uid="{0FF71CAD-C5FC-43DD-B106-6A4CF9566807}" name="Flower"/>
    <tableColumn id="4" xr3:uid="{666CDB64-50CC-4EAD-96AE-EFC821395608}" name="Retail Price" dataDxfId="22" dataCellStyle="Currency">
      <calculatedColumnFormula>H153*(1+$F$2)</calculatedColumnFormula>
    </tableColumn>
    <tableColumn id="5" xr3:uid="{C34AAE2A-05FF-4161-85B8-4CFD14AD00D4}" name="Avg. WS Price" dataDxfId="21" dataCellStyle="Currency">
      <calculatedColumnFormula>AVERAGE(I153:K153)</calculatedColumnFormula>
    </tableColumn>
    <tableColumn id="6" xr3:uid="{18F0E4D7-5CA4-4985-9F40-CE0BD98473A8}" name="MVFC" dataDxfId="20" dataCellStyle="Currency"/>
    <tableColumn id="7" xr3:uid="{73801398-FFB0-44B3-B749-B308E5BDE16D}" name="Potomac" dataDxfId="19" dataCellStyle="Currency"/>
    <tableColumn id="8" xr3:uid="{DBA05E9A-31A6-4F57-A185-BBC8C41CB200}" name="SP Guess" dataDxfId="18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02AF22-E035-4D5B-A111-AC9C15C8B94B}" name="Table613" displayName="Table613" ref="D163:K177" totalsRowShown="0" headerRowDxfId="17" dataDxfId="16" tableBorderDxfId="15" headerRowCellStyle="Currency" dataCellStyle="Currency">
  <autoFilter ref="D163:K177" xr:uid="{B1FE4E98-A24B-4C73-9A99-CD58B1936D0B}"/>
  <tableColumns count="8">
    <tableColumn id="1" xr3:uid="{CB9817D5-7571-494F-BB24-E10CE4791D22}" name="Season"/>
    <tableColumn id="2" xr3:uid="{570FE75C-5D03-4B58-AB92-7E2BEB320F35}" name="Category"/>
    <tableColumn id="3" xr3:uid="{7F592EF7-4525-425D-96B2-3A785BC30DEA}" name="Flower"/>
    <tableColumn id="4" xr3:uid="{BDD4F44C-3E76-4E0F-9E41-07DC839F94A5}" name="Retail Price" dataDxfId="14" dataCellStyle="Currency">
      <calculatedColumnFormula>H164*(1+$F$2)</calculatedColumnFormula>
    </tableColumn>
    <tableColumn id="5" xr3:uid="{94873167-D43E-4378-B64C-1D9159BAFF90}" name="Avg. WS Price" dataDxfId="13" dataCellStyle="Currency">
      <calculatedColumnFormula>AVERAGE(I164:K164)</calculatedColumnFormula>
    </tableColumn>
    <tableColumn id="6" xr3:uid="{257DDF89-7605-452D-A07C-58BB79844C07}" name="MVFC" dataDxfId="12" dataCellStyle="Currency"/>
    <tableColumn id="7" xr3:uid="{FEE69BD1-4B19-4693-8D49-1AB896710BCA}" name="Potomac" dataDxfId="11" dataCellStyle="Currency"/>
    <tableColumn id="8" xr3:uid="{F50464D4-2238-4522-AD20-07607C72428B}" name="SP Guess" dataDxfId="1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CFD76D-A69A-430C-8815-7CB028665BB6}" name="Table714" displayName="Table714" ref="D197:K209" totalsRowShown="0" headerRowDxfId="9" dataDxfId="8" tableBorderDxfId="7" headerRowCellStyle="Currency" dataCellStyle="Currency">
  <autoFilter ref="D197:K209" xr:uid="{1DD26DF5-85D3-43FB-BDC2-3D10D1A40C7E}"/>
  <tableColumns count="8">
    <tableColumn id="1" xr3:uid="{077C3636-CF7B-4BD2-B710-D91382C105BE}" name="Season"/>
    <tableColumn id="2" xr3:uid="{992D7BA0-B361-4C13-863C-1BE1C47C290E}" name="Category"/>
    <tableColumn id="3" xr3:uid="{BFF3B3AE-2F36-4ED3-9600-0879180B4B53}" name="Flower"/>
    <tableColumn id="4" xr3:uid="{0431B407-0F1D-4B4D-A363-86CFAB3CCEC8}" name="Retail Price" dataDxfId="6" dataCellStyle="Currency">
      <calculatedColumnFormula>H198*(1+$F$2)</calculatedColumnFormula>
    </tableColumn>
    <tableColumn id="5" xr3:uid="{A8C39623-6C36-4935-B4F8-321C2648D286}" name="Avg. WS Price" dataDxfId="5" dataCellStyle="Currency">
      <calculatedColumnFormula>AVERAGE(I198:K198)</calculatedColumnFormula>
    </tableColumn>
    <tableColumn id="6" xr3:uid="{F33C4989-2D82-41D1-86EF-75AC3E0762B7}" name="MVFC" dataDxfId="4" dataCellStyle="Currency"/>
    <tableColumn id="7" xr3:uid="{712F0D87-73AC-4C9C-9E2D-F77104B2CA9C}" name="Potomac" dataDxfId="3" dataCellStyle="Currency"/>
    <tableColumn id="8" xr3:uid="{8406C450-C99E-42ED-A620-EFCA8C55AA8B}" name="SP Gues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microsoft.com/office/2019/04/relationships/namedSheetView" Target="../namedSheetViews/namedSheetView1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7" Type="http://schemas.microsoft.com/office/2019/04/relationships/namedSheetView" Target="../namedSheetViews/namedSheetView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5A4B-42D2-4DEE-9E53-DA684FE10811}">
  <dimension ref="A1:A4"/>
  <sheetViews>
    <sheetView workbookViewId="0">
      <selection activeCell="A11" sqref="A11"/>
    </sheetView>
  </sheetViews>
  <sheetFormatPr baseColWidth="10" defaultColWidth="8.83203125" defaultRowHeight="16"/>
  <cols>
    <col min="1" max="1" width="36" bestFit="1" customWidth="1"/>
  </cols>
  <sheetData>
    <row r="1" spans="1:1" ht="17">
      <c r="A1" s="240" t="s">
        <v>0</v>
      </c>
    </row>
    <row r="2" spans="1:1" ht="34">
      <c r="A2" s="87" t="s">
        <v>1</v>
      </c>
    </row>
    <row r="3" spans="1:1" ht="17">
      <c r="A3" s="87" t="s">
        <v>2</v>
      </c>
    </row>
    <row r="4" spans="1:1" ht="17">
      <c r="A4" s="8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D6E7-2CCA-C441-90A4-7482336BBF20}">
  <sheetPr codeName="Sheet4"/>
  <dimension ref="A1:T297"/>
  <sheetViews>
    <sheetView tabSelected="1" zoomScale="106" workbookViewId="0">
      <pane ySplit="1" topLeftCell="A119" activePane="bottomLeft" state="frozen"/>
      <selection pane="bottomLeft" activeCell="C154" sqref="C154"/>
    </sheetView>
  </sheetViews>
  <sheetFormatPr baseColWidth="10" defaultColWidth="11" defaultRowHeight="16"/>
  <cols>
    <col min="1" max="1" width="37" customWidth="1"/>
    <col min="2" max="2" width="17" customWidth="1"/>
    <col min="3" max="3" width="23.5" customWidth="1"/>
    <col min="11" max="13" width="11" style="155"/>
    <col min="14" max="14" width="14.1640625" style="155" bestFit="1" customWidth="1"/>
    <col min="15" max="17" width="11" style="155"/>
  </cols>
  <sheetData>
    <row r="1" spans="1:20" ht="34">
      <c r="A1" s="77" t="s">
        <v>4</v>
      </c>
      <c r="B1" s="77" t="s">
        <v>5</v>
      </c>
      <c r="C1" s="77" t="s">
        <v>6</v>
      </c>
      <c r="D1" s="78" t="s">
        <v>7</v>
      </c>
      <c r="E1" s="78" t="s">
        <v>8</v>
      </c>
      <c r="F1" s="78" t="s">
        <v>940</v>
      </c>
      <c r="G1" s="81" t="s">
        <v>9</v>
      </c>
      <c r="H1" s="81" t="s">
        <v>10</v>
      </c>
      <c r="I1" s="81" t="s">
        <v>11</v>
      </c>
      <c r="J1" s="149" t="s">
        <v>12</v>
      </c>
      <c r="K1" s="149" t="s">
        <v>13</v>
      </c>
      <c r="L1" s="208" t="s">
        <v>14</v>
      </c>
      <c r="M1" s="208" t="s">
        <v>15</v>
      </c>
      <c r="N1" s="208" t="s">
        <v>16</v>
      </c>
      <c r="O1" s="208" t="s">
        <v>17</v>
      </c>
      <c r="P1" s="208" t="s">
        <v>18</v>
      </c>
      <c r="Q1" s="208" t="s">
        <v>19</v>
      </c>
      <c r="S1" s="112" t="s">
        <v>20</v>
      </c>
      <c r="T1" s="159">
        <v>0.5</v>
      </c>
    </row>
    <row r="2" spans="1:20">
      <c r="A2" s="322" t="s">
        <v>142</v>
      </c>
      <c r="B2" t="s">
        <v>41</v>
      </c>
      <c r="C2" t="s">
        <v>105</v>
      </c>
      <c r="D2" s="79">
        <f>E2*(1+$T$1)</f>
        <v>1.9424999999999999</v>
      </c>
      <c r="E2" s="79">
        <f>AVERAGE(G2:Q2)</f>
        <v>1.2949999999999999</v>
      </c>
      <c r="F2" s="79">
        <f>STDEV(G2:Q2)</f>
        <v>7.0710678118654814E-3</v>
      </c>
      <c r="G2" s="79">
        <v>1.3</v>
      </c>
      <c r="H2" s="79"/>
      <c r="I2" s="79"/>
      <c r="J2" s="140"/>
      <c r="K2" s="141"/>
      <c r="O2" s="155">
        <v>1.29</v>
      </c>
      <c r="S2" s="112"/>
      <c r="T2" s="159"/>
    </row>
    <row r="3" spans="1:20">
      <c r="A3" s="322" t="s">
        <v>30</v>
      </c>
      <c r="B3" t="s">
        <v>41</v>
      </c>
      <c r="C3" t="s">
        <v>42</v>
      </c>
      <c r="D3" s="79">
        <f>E3*(1+$T$1)</f>
        <v>1.5</v>
      </c>
      <c r="E3" s="79">
        <f>AVERAGE(G3:Q3)</f>
        <v>1</v>
      </c>
      <c r="F3" s="79" t="e">
        <f>STDEV(G3:Q3)</f>
        <v>#DIV/0!</v>
      </c>
      <c r="G3" s="79"/>
      <c r="H3" s="79"/>
      <c r="I3" s="79">
        <v>1</v>
      </c>
      <c r="J3" s="140"/>
      <c r="K3" s="141"/>
      <c r="S3" s="112"/>
      <c r="T3" s="159"/>
    </row>
    <row r="4" spans="1:20">
      <c r="A4" s="322" t="s">
        <v>55</v>
      </c>
      <c r="B4" t="s">
        <v>26</v>
      </c>
      <c r="C4" t="s">
        <v>896</v>
      </c>
      <c r="D4" s="79">
        <f>E4*(1+$T$1)</f>
        <v>2.4000000000000004</v>
      </c>
      <c r="E4" s="79">
        <f>AVERAGE(G4:Q4)</f>
        <v>1.6</v>
      </c>
      <c r="F4" s="79" t="e">
        <f>STDEV(G4:Q4)</f>
        <v>#DIV/0!</v>
      </c>
      <c r="G4" s="79"/>
      <c r="H4" s="79"/>
      <c r="I4" s="79"/>
      <c r="J4" s="140"/>
      <c r="K4" s="141"/>
      <c r="O4" s="155">
        <v>1.6</v>
      </c>
      <c r="S4" s="112"/>
      <c r="T4" s="159"/>
    </row>
    <row r="5" spans="1:20">
      <c r="A5" s="322" t="s">
        <v>55</v>
      </c>
      <c r="B5" t="s">
        <v>49</v>
      </c>
      <c r="C5" t="s">
        <v>895</v>
      </c>
      <c r="D5" s="79">
        <f>E5*(1+$T$1)</f>
        <v>2.5687500000000001</v>
      </c>
      <c r="E5" s="79">
        <f>AVERAGE(G5:Q5)</f>
        <v>1.7125000000000001</v>
      </c>
      <c r="F5" s="79">
        <f>STDEV(G5:Q5)</f>
        <v>0.35677957714346031</v>
      </c>
      <c r="G5" s="79"/>
      <c r="H5" s="79">
        <v>1.5</v>
      </c>
      <c r="I5" s="79">
        <v>1.75</v>
      </c>
      <c r="J5" s="140"/>
      <c r="K5" s="141"/>
      <c r="L5" s="155">
        <v>1.4</v>
      </c>
      <c r="O5" s="155">
        <v>2.2000000000000002</v>
      </c>
      <c r="S5" s="112"/>
      <c r="T5" s="159"/>
    </row>
    <row r="6" spans="1:20">
      <c r="A6" s="322" t="s">
        <v>142</v>
      </c>
      <c r="B6" t="s">
        <v>49</v>
      </c>
      <c r="C6" t="s">
        <v>125</v>
      </c>
      <c r="D6" s="79">
        <f>E6*(1+$T$1)</f>
        <v>2.9125000000000001</v>
      </c>
      <c r="E6" s="79">
        <f>AVERAGE(G6:Q6)</f>
        <v>1.9416666666666667</v>
      </c>
      <c r="F6" s="79">
        <f>STDEV(G6:Q6)</f>
        <v>0.56325541867492657</v>
      </c>
      <c r="G6" s="79">
        <v>1.3</v>
      </c>
      <c r="H6" s="79">
        <v>1.71</v>
      </c>
      <c r="I6" s="79"/>
      <c r="J6" s="140"/>
      <c r="K6" s="141"/>
      <c r="L6" s="155">
        <v>1.9</v>
      </c>
      <c r="N6" s="155">
        <v>1.95</v>
      </c>
      <c r="O6" s="155">
        <v>1.8</v>
      </c>
      <c r="P6" s="155">
        <v>2.99</v>
      </c>
      <c r="S6" s="112"/>
      <c r="T6" s="159"/>
    </row>
    <row r="7" spans="1:20">
      <c r="A7" s="322" t="s">
        <v>21</v>
      </c>
      <c r="B7" t="s">
        <v>26</v>
      </c>
      <c r="C7" t="s">
        <v>27</v>
      </c>
      <c r="D7" s="79">
        <f>E7*(1+$T$1)</f>
        <v>3.5287500000000001</v>
      </c>
      <c r="E7" s="79">
        <f>AVERAGE(G7:Q7)</f>
        <v>2.3525</v>
      </c>
      <c r="F7" s="79">
        <f>STDEV(G7:Q7)</f>
        <v>0.27158485475691263</v>
      </c>
      <c r="G7" s="79"/>
      <c r="H7" s="79">
        <v>1.95</v>
      </c>
      <c r="I7" s="79"/>
      <c r="J7" s="140"/>
      <c r="K7" s="141"/>
      <c r="L7" s="155">
        <v>2.5</v>
      </c>
      <c r="O7" s="155">
        <v>2.4300000000000002</v>
      </c>
      <c r="P7" s="155">
        <v>2.5299999999999998</v>
      </c>
      <c r="S7" s="112"/>
      <c r="T7" s="159"/>
    </row>
    <row r="8" spans="1:20">
      <c r="A8" s="322" t="s">
        <v>55</v>
      </c>
      <c r="B8" t="s">
        <v>26</v>
      </c>
      <c r="C8" t="s">
        <v>57</v>
      </c>
      <c r="D8" s="79">
        <f>E8*(1+$T$1)</f>
        <v>2.9475000000000002</v>
      </c>
      <c r="E8" s="79">
        <f>AVERAGE(G8:Q8)</f>
        <v>1.9650000000000001</v>
      </c>
      <c r="F8" s="79">
        <f>STDEV(G8:Q8)</f>
        <v>0.60737138556240855</v>
      </c>
      <c r="G8" s="79">
        <v>1.1000000000000001</v>
      </c>
      <c r="H8" s="79">
        <v>2.2999999999999998</v>
      </c>
      <c r="I8" s="79"/>
      <c r="J8" s="140"/>
      <c r="K8" s="141"/>
      <c r="L8" s="155">
        <v>2</v>
      </c>
      <c r="O8" s="155">
        <v>2.46</v>
      </c>
      <c r="S8" s="112"/>
      <c r="T8" s="159"/>
    </row>
    <row r="9" spans="1:20">
      <c r="A9" s="322" t="s">
        <v>55</v>
      </c>
      <c r="B9" t="s">
        <v>49</v>
      </c>
      <c r="C9" t="s">
        <v>57</v>
      </c>
      <c r="D9" s="79">
        <f>E9*(1+$T$1)</f>
        <v>2.9475000000000002</v>
      </c>
      <c r="E9" s="79">
        <f>AVERAGE(G9:Q9)</f>
        <v>1.9650000000000001</v>
      </c>
      <c r="F9" s="79">
        <f>STDEV(G9:Q9)</f>
        <v>0.60737138556240855</v>
      </c>
      <c r="G9" s="79">
        <v>1.1000000000000001</v>
      </c>
      <c r="H9" s="79">
        <v>2.2999999999999998</v>
      </c>
      <c r="I9" s="79"/>
      <c r="J9" s="140"/>
      <c r="K9" s="141"/>
      <c r="L9" s="155">
        <v>2</v>
      </c>
      <c r="O9" s="155">
        <v>2.46</v>
      </c>
      <c r="S9" s="112"/>
      <c r="T9" s="159"/>
    </row>
    <row r="10" spans="1:20">
      <c r="A10" s="322" t="s">
        <v>55</v>
      </c>
      <c r="B10" t="s">
        <v>49</v>
      </c>
      <c r="C10" t="s">
        <v>58</v>
      </c>
      <c r="D10" s="79">
        <f>E10*(1+$T$1)</f>
        <v>2.8537500000000002</v>
      </c>
      <c r="E10" s="79">
        <f>AVERAGE(G10:Q10)</f>
        <v>1.9025000000000001</v>
      </c>
      <c r="F10" s="79">
        <f>STDEV(G10:Q10)</f>
        <v>0.7949999999999996</v>
      </c>
      <c r="G10" s="79">
        <v>0.75</v>
      </c>
      <c r="H10" s="79">
        <v>2.4</v>
      </c>
      <c r="I10" s="79"/>
      <c r="J10" s="140"/>
      <c r="K10" s="141"/>
      <c r="L10" s="155">
        <v>2</v>
      </c>
      <c r="O10" s="155">
        <v>2.46</v>
      </c>
      <c r="S10" s="112"/>
      <c r="T10" s="159"/>
    </row>
    <row r="11" spans="1:20">
      <c r="A11" s="322" t="s">
        <v>55</v>
      </c>
      <c r="B11" t="s">
        <v>26</v>
      </c>
      <c r="C11" t="s">
        <v>58</v>
      </c>
      <c r="D11" s="79">
        <f>E11*(1+$T$1)</f>
        <v>2.8537500000000002</v>
      </c>
      <c r="E11" s="79">
        <f>AVERAGE(G11:Q11)</f>
        <v>1.9025000000000001</v>
      </c>
      <c r="F11" s="79">
        <f>STDEV(G11:Q11)</f>
        <v>0.7949999999999996</v>
      </c>
      <c r="G11" s="79">
        <v>0.75</v>
      </c>
      <c r="H11" s="79">
        <v>2.4</v>
      </c>
      <c r="I11" s="79"/>
      <c r="J11" s="140"/>
      <c r="K11" s="141"/>
      <c r="L11" s="155">
        <v>2</v>
      </c>
      <c r="O11" s="155">
        <v>2.46</v>
      </c>
      <c r="S11" s="112"/>
      <c r="T11" s="159"/>
    </row>
    <row r="12" spans="1:20">
      <c r="A12" s="322" t="s">
        <v>30</v>
      </c>
      <c r="B12" t="s">
        <v>41</v>
      </c>
      <c r="C12" t="s">
        <v>43</v>
      </c>
      <c r="D12" s="79">
        <f>E12*(1+$T$1)</f>
        <v>2.4299999999999997</v>
      </c>
      <c r="E12" s="79">
        <f>AVERAGE(G12:Q12)</f>
        <v>1.6199999999999999</v>
      </c>
      <c r="F12" s="79">
        <f>STDEV(G12:Q12)</f>
        <v>0.63895748424027965</v>
      </c>
      <c r="G12" s="79">
        <v>1.1000000000000001</v>
      </c>
      <c r="H12" s="79">
        <v>1.2</v>
      </c>
      <c r="I12" s="79"/>
      <c r="J12" s="140"/>
      <c r="K12" s="141"/>
      <c r="L12" s="155">
        <v>2.5</v>
      </c>
      <c r="O12" s="155">
        <v>1.68</v>
      </c>
      <c r="S12" s="112"/>
      <c r="T12" s="159"/>
    </row>
    <row r="13" spans="1:20">
      <c r="A13" s="322" t="s">
        <v>55</v>
      </c>
      <c r="B13" t="s">
        <v>51</v>
      </c>
      <c r="C13" t="s">
        <v>923</v>
      </c>
      <c r="D13" s="79" t="e">
        <f>E13*(1+$O$1)</f>
        <v>#VALUE!</v>
      </c>
      <c r="E13" s="79">
        <f>AVERAGE(G13:Q13)</f>
        <v>1.5</v>
      </c>
      <c r="F13" s="79" t="e">
        <f>STDEV(G13:Q13)</f>
        <v>#DIV/0!</v>
      </c>
      <c r="G13" s="79"/>
      <c r="H13" s="79"/>
      <c r="I13" s="79"/>
      <c r="J13" s="140"/>
      <c r="K13" s="141"/>
      <c r="O13" s="155">
        <v>1.5</v>
      </c>
      <c r="S13" s="112"/>
      <c r="T13" s="159"/>
    </row>
    <row r="14" spans="1:20">
      <c r="A14" s="322" t="s">
        <v>55</v>
      </c>
      <c r="B14" t="s">
        <v>49</v>
      </c>
      <c r="C14" t="s">
        <v>899</v>
      </c>
      <c r="D14" s="79" t="e">
        <f>E14*(1+$O$1)</f>
        <v>#VALUE!</v>
      </c>
      <c r="E14" s="79">
        <f>AVERAGE(G14:Q14)</f>
        <v>2.0099999999999998</v>
      </c>
      <c r="F14" s="79" t="e">
        <f>STDEV(G14:Q14)</f>
        <v>#DIV/0!</v>
      </c>
      <c r="G14" s="79"/>
      <c r="H14" s="79"/>
      <c r="I14" s="79"/>
      <c r="J14" s="140"/>
      <c r="K14" s="141"/>
      <c r="O14" s="155">
        <v>2.0099999999999998</v>
      </c>
      <c r="S14" s="112"/>
      <c r="T14" s="159"/>
    </row>
    <row r="15" spans="1:20">
      <c r="A15" s="322" t="s">
        <v>142</v>
      </c>
      <c r="B15" t="s">
        <v>49</v>
      </c>
      <c r="C15" t="s">
        <v>126</v>
      </c>
      <c r="D15" s="79">
        <f>E15*(1+$T$1)</f>
        <v>1.6500000000000001</v>
      </c>
      <c r="E15" s="79">
        <f>AVERAGE(G15:Q15)</f>
        <v>1.1000000000000001</v>
      </c>
      <c r="F15" s="79" t="e">
        <f>STDEV(G15:Q15)</f>
        <v>#DIV/0!</v>
      </c>
      <c r="G15" s="140"/>
      <c r="H15" s="140"/>
      <c r="I15" s="79">
        <v>1.1000000000000001</v>
      </c>
      <c r="J15" s="140"/>
      <c r="K15" s="141"/>
      <c r="S15" s="112"/>
      <c r="T15" s="159"/>
    </row>
    <row r="16" spans="1:20">
      <c r="A16" s="322" t="s">
        <v>142</v>
      </c>
      <c r="B16" t="s">
        <v>51</v>
      </c>
      <c r="C16" t="s">
        <v>135</v>
      </c>
      <c r="D16" s="79">
        <f>E16*(1+$T$1)</f>
        <v>1.6500000000000001</v>
      </c>
      <c r="E16" s="79">
        <f>AVERAGE(G16:Q16)</f>
        <v>1.1000000000000001</v>
      </c>
      <c r="F16" s="79" t="e">
        <f>STDEV(G16:Q16)</f>
        <v>#DIV/0!</v>
      </c>
      <c r="G16" s="140"/>
      <c r="H16" s="140"/>
      <c r="I16" s="79">
        <v>1.1000000000000001</v>
      </c>
      <c r="J16" s="140"/>
      <c r="K16" s="141"/>
      <c r="S16" s="112"/>
      <c r="T16" s="159"/>
    </row>
    <row r="17" spans="1:20">
      <c r="A17" s="322" t="s">
        <v>55</v>
      </c>
      <c r="B17" t="s">
        <v>51</v>
      </c>
      <c r="C17" t="s">
        <v>59</v>
      </c>
      <c r="D17" s="79">
        <f>E17*(1+$T$1)</f>
        <v>1.7250000000000001</v>
      </c>
      <c r="E17" s="79">
        <f>AVERAGE(G17:Q17)</f>
        <v>1.1500000000000001</v>
      </c>
      <c r="F17" s="79">
        <f>STDEV(G17:Q17)</f>
        <v>8.660254037844381E-2</v>
      </c>
      <c r="G17" s="79"/>
      <c r="H17" s="79">
        <v>1.1000000000000001</v>
      </c>
      <c r="I17" s="79"/>
      <c r="J17" s="140"/>
      <c r="K17" s="141"/>
      <c r="N17" s="155">
        <v>1.25</v>
      </c>
      <c r="P17" s="155">
        <v>1.1000000000000001</v>
      </c>
      <c r="S17" s="112"/>
      <c r="T17" s="159"/>
    </row>
    <row r="18" spans="1:20">
      <c r="A18" s="322" t="s">
        <v>55</v>
      </c>
      <c r="B18" t="s">
        <v>49</v>
      </c>
      <c r="C18" t="s">
        <v>59</v>
      </c>
      <c r="D18" s="79">
        <f>E18*(1+$T$1)</f>
        <v>1.7250000000000001</v>
      </c>
      <c r="E18" s="79">
        <f>AVERAGE(G18:Q18)</f>
        <v>1.1500000000000001</v>
      </c>
      <c r="F18" s="79">
        <f>STDEV(G18:Q18)</f>
        <v>8.660254037844381E-2</v>
      </c>
      <c r="G18" s="79"/>
      <c r="H18" s="79">
        <v>1.1000000000000001</v>
      </c>
      <c r="I18" s="79"/>
      <c r="J18" s="140"/>
      <c r="K18" s="141"/>
      <c r="N18" s="155">
        <v>1.25</v>
      </c>
      <c r="P18" s="155">
        <v>1.1000000000000001</v>
      </c>
      <c r="S18" s="112"/>
      <c r="T18" s="159"/>
    </row>
    <row r="19" spans="1:20">
      <c r="A19" s="322" t="s">
        <v>142</v>
      </c>
      <c r="B19" t="s">
        <v>49</v>
      </c>
      <c r="C19" t="s">
        <v>900</v>
      </c>
      <c r="D19" s="79" t="e">
        <f>E19*(1+$O$1)</f>
        <v>#VALUE!</v>
      </c>
      <c r="E19" s="79">
        <f>AVERAGE(G19:Q19)</f>
        <v>3.75</v>
      </c>
      <c r="F19" s="79" t="e">
        <f>STDEV(G19:Q19)</f>
        <v>#DIV/0!</v>
      </c>
      <c r="G19" s="79"/>
      <c r="H19" s="79"/>
      <c r="I19" s="79"/>
      <c r="J19" s="140"/>
      <c r="K19" s="141"/>
      <c r="O19" s="155">
        <v>3.75</v>
      </c>
      <c r="S19" s="112"/>
      <c r="T19" s="159"/>
    </row>
    <row r="20" spans="1:20">
      <c r="A20" t="s">
        <v>142</v>
      </c>
      <c r="B20" t="s">
        <v>49</v>
      </c>
      <c r="C20" t="s">
        <v>124</v>
      </c>
      <c r="D20" s="79">
        <f>E20*(1+$T$1)</f>
        <v>2.5875000000000004</v>
      </c>
      <c r="E20" s="79">
        <f>AVERAGE(G20:Q20)</f>
        <v>1.7250000000000001</v>
      </c>
      <c r="F20" s="79">
        <f>STDEV(G20:Q20)</f>
        <v>0.31819805153394543</v>
      </c>
      <c r="G20" s="140"/>
      <c r="H20" s="140"/>
      <c r="I20" s="79">
        <v>1.5</v>
      </c>
      <c r="J20" s="140"/>
      <c r="K20" s="141"/>
      <c r="O20" s="155">
        <v>1.95</v>
      </c>
      <c r="S20" s="112"/>
      <c r="T20" s="159"/>
    </row>
    <row r="21" spans="1:20">
      <c r="A21" s="322" t="s">
        <v>55</v>
      </c>
      <c r="B21" t="s">
        <v>49</v>
      </c>
      <c r="C21" t="s">
        <v>60</v>
      </c>
      <c r="D21" s="79">
        <f>E21*(1+$T$1)</f>
        <v>2.3049999999999997</v>
      </c>
      <c r="E21" s="79">
        <f>AVERAGE(G21:Q21)</f>
        <v>1.5366666666666664</v>
      </c>
      <c r="F21" s="79">
        <f>STDEV(G21:Q21)</f>
        <v>0.96256601505212824</v>
      </c>
      <c r="G21" s="79">
        <v>0.75</v>
      </c>
      <c r="H21" s="79"/>
      <c r="I21" s="79">
        <v>1.25</v>
      </c>
      <c r="J21" s="140"/>
      <c r="K21" s="141"/>
      <c r="O21" s="155">
        <v>2.61</v>
      </c>
      <c r="S21" s="112"/>
      <c r="T21" s="159"/>
    </row>
    <row r="22" spans="1:20">
      <c r="A22" s="322" t="s">
        <v>142</v>
      </c>
      <c r="B22" t="s">
        <v>33</v>
      </c>
      <c r="C22" t="s">
        <v>98</v>
      </c>
      <c r="D22" s="79">
        <f>E22*(1+$T$1)</f>
        <v>2.5</v>
      </c>
      <c r="E22" s="79">
        <f>AVERAGE(G22:Q22)</f>
        <v>1.6666666666666667</v>
      </c>
      <c r="F22" s="79">
        <f>STDEV(G22:Q22)</f>
        <v>0.23094010767585105</v>
      </c>
      <c r="G22" s="79">
        <v>1.4</v>
      </c>
      <c r="H22" s="79">
        <v>1.8</v>
      </c>
      <c r="I22" s="79">
        <v>1.8</v>
      </c>
      <c r="J22" s="140"/>
      <c r="K22" s="141"/>
      <c r="S22" s="112"/>
      <c r="T22" s="159"/>
    </row>
    <row r="23" spans="1:20">
      <c r="A23" s="322" t="s">
        <v>55</v>
      </c>
      <c r="B23" t="s">
        <v>33</v>
      </c>
      <c r="C23" t="s">
        <v>61</v>
      </c>
      <c r="D23" s="79">
        <f>E23*(1+$T$1)</f>
        <v>2.125</v>
      </c>
      <c r="E23" s="79">
        <f>AVERAGE(G23:Q23)</f>
        <v>1.4166666666666667</v>
      </c>
      <c r="F23" s="79">
        <f>STDEV(G23:Q23)</f>
        <v>0.38188130791298686</v>
      </c>
      <c r="G23" s="79"/>
      <c r="H23" s="79">
        <v>1</v>
      </c>
      <c r="I23" s="79"/>
      <c r="J23" s="140"/>
      <c r="K23" s="141"/>
      <c r="N23" s="155">
        <v>1.5</v>
      </c>
      <c r="O23" s="155">
        <v>1.75</v>
      </c>
      <c r="S23" s="112"/>
      <c r="T23" s="159"/>
    </row>
    <row r="24" spans="1:20">
      <c r="A24" s="322" t="s">
        <v>30</v>
      </c>
      <c r="B24" t="s">
        <v>41</v>
      </c>
      <c r="C24" t="s">
        <v>935</v>
      </c>
      <c r="D24" s="79">
        <f>E24*(1+$T$1)</f>
        <v>3.75</v>
      </c>
      <c r="E24" s="140">
        <f>AVERAGE(G24:Q24)</f>
        <v>2.5</v>
      </c>
      <c r="F24" s="140">
        <f>STDEV(G24:Q24)</f>
        <v>0.5</v>
      </c>
      <c r="G24" s="140"/>
      <c r="H24" s="140">
        <v>3</v>
      </c>
      <c r="I24" s="79">
        <v>2</v>
      </c>
      <c r="J24" s="140"/>
      <c r="K24" s="141"/>
      <c r="L24" s="155">
        <v>2.5</v>
      </c>
      <c r="S24" s="112"/>
      <c r="T24" s="159"/>
    </row>
    <row r="25" spans="1:20">
      <c r="A25" s="322" t="s">
        <v>30</v>
      </c>
      <c r="B25" t="s">
        <v>41</v>
      </c>
      <c r="C25" t="s">
        <v>902</v>
      </c>
      <c r="D25" s="79" t="e">
        <f>E25*(1+$O$1)</f>
        <v>#VALUE!</v>
      </c>
      <c r="E25" s="140">
        <f>AVERAGE(G25:Q25)</f>
        <v>1.5</v>
      </c>
      <c r="F25" s="140" t="e">
        <f>STDEV(G25:Q25)</f>
        <v>#DIV/0!</v>
      </c>
      <c r="G25" s="140"/>
      <c r="H25" s="140"/>
      <c r="I25" s="79"/>
      <c r="J25" s="140"/>
      <c r="K25" s="141"/>
      <c r="O25" s="155">
        <v>1.5</v>
      </c>
      <c r="S25" s="112"/>
      <c r="T25" s="159"/>
    </row>
    <row r="26" spans="1:20">
      <c r="A26" s="322" t="s">
        <v>892</v>
      </c>
      <c r="B26" t="s">
        <v>26</v>
      </c>
      <c r="C26" t="s">
        <v>933</v>
      </c>
      <c r="D26" s="79" t="e">
        <f>E26*(1+$O$1)</f>
        <v>#VALUE!</v>
      </c>
      <c r="E26" s="140">
        <f>AVERAGE(G26:Q26)</f>
        <v>0.8640000000000001</v>
      </c>
      <c r="F26" s="140">
        <f>STDEV(G26:Q26)</f>
        <v>0.2353295561547675</v>
      </c>
      <c r="G26" s="140"/>
      <c r="H26" s="140">
        <v>0.89</v>
      </c>
      <c r="I26" s="79"/>
      <c r="J26" s="140">
        <v>0.63</v>
      </c>
      <c r="K26" s="141"/>
      <c r="L26" s="155">
        <v>0.95</v>
      </c>
      <c r="N26" s="155">
        <v>1.2</v>
      </c>
      <c r="P26" s="155">
        <v>0.65</v>
      </c>
      <c r="S26" s="112"/>
      <c r="T26" s="159"/>
    </row>
    <row r="27" spans="1:20">
      <c r="A27" s="322" t="s">
        <v>55</v>
      </c>
      <c r="B27" s="322" t="s">
        <v>49</v>
      </c>
      <c r="C27" s="322" t="s">
        <v>62</v>
      </c>
      <c r="D27" s="79">
        <f>E27*(1+$T$1)</f>
        <v>2.5099999999999998</v>
      </c>
      <c r="E27" s="79">
        <f>AVERAGE(G27:Q27)</f>
        <v>1.6733333333333331</v>
      </c>
      <c r="F27" s="79">
        <f>STDEV(G27:Q27)</f>
        <v>0.41064989143226871</v>
      </c>
      <c r="G27" s="79">
        <v>1.25</v>
      </c>
      <c r="H27" s="79">
        <v>1.7</v>
      </c>
      <c r="I27" s="79"/>
      <c r="J27" s="140"/>
      <c r="K27" s="141"/>
      <c r="O27" s="155">
        <v>2.0699999999999998</v>
      </c>
      <c r="S27" s="112"/>
      <c r="T27" s="159"/>
    </row>
    <row r="28" spans="1:20">
      <c r="A28" s="322" t="s">
        <v>142</v>
      </c>
      <c r="B28" t="s">
        <v>33</v>
      </c>
      <c r="C28" t="s">
        <v>903</v>
      </c>
      <c r="D28" s="79" t="e">
        <f>E28*(1+$O$1)</f>
        <v>#VALUE!</v>
      </c>
      <c r="E28" s="79">
        <f>AVERAGE(G28:Q28)</f>
        <v>1.75</v>
      </c>
      <c r="F28" s="79" t="e">
        <f>STDEV(G28:Q28)</f>
        <v>#DIV/0!</v>
      </c>
      <c r="G28" s="79"/>
      <c r="H28" s="79"/>
      <c r="I28" s="79">
        <v>1.75</v>
      </c>
      <c r="J28" s="140"/>
      <c r="K28" s="141"/>
      <c r="S28" s="112"/>
      <c r="T28" s="159"/>
    </row>
    <row r="29" spans="1:20">
      <c r="A29" s="322" t="s">
        <v>142</v>
      </c>
      <c r="B29" t="s">
        <v>26</v>
      </c>
      <c r="C29" t="s">
        <v>904</v>
      </c>
      <c r="D29" s="79" t="e">
        <f>E29*(1+$O$1)</f>
        <v>#VALUE!</v>
      </c>
      <c r="E29" s="79">
        <f>AVERAGE(G29:Q29)</f>
        <v>1.9750000000000001</v>
      </c>
      <c r="F29" s="79">
        <f>STDEV(G29:Q29)</f>
        <v>0.83416625041614656</v>
      </c>
      <c r="G29" s="79">
        <v>1.4</v>
      </c>
      <c r="H29" s="79">
        <v>1.8</v>
      </c>
      <c r="I29" s="79"/>
      <c r="J29" s="140"/>
      <c r="K29" s="141"/>
      <c r="L29" s="155">
        <v>3.2</v>
      </c>
      <c r="O29" s="155">
        <v>1.5</v>
      </c>
      <c r="S29" s="112"/>
      <c r="T29" s="159"/>
    </row>
    <row r="30" spans="1:20">
      <c r="A30" s="322" t="s">
        <v>142</v>
      </c>
      <c r="B30" t="s">
        <v>33</v>
      </c>
      <c r="C30" t="s">
        <v>905</v>
      </c>
      <c r="D30" s="79">
        <f>E30*(1+$T$1)</f>
        <v>2.3250000000000002</v>
      </c>
      <c r="E30" s="79">
        <f>AVERAGE(G30:Q30)</f>
        <v>1.55</v>
      </c>
      <c r="F30" s="79">
        <f>STDEV(G30:Q30)</f>
        <v>0.17320508075688779</v>
      </c>
      <c r="G30" s="79">
        <v>1.4</v>
      </c>
      <c r="H30" s="79">
        <v>1.8</v>
      </c>
      <c r="I30" s="79">
        <v>1.5</v>
      </c>
      <c r="J30" s="140"/>
      <c r="K30" s="141"/>
      <c r="O30" s="155">
        <v>1.5</v>
      </c>
      <c r="S30" s="112"/>
      <c r="T30" s="159"/>
    </row>
    <row r="31" spans="1:20">
      <c r="A31" s="322" t="s">
        <v>55</v>
      </c>
      <c r="B31" t="s">
        <v>33</v>
      </c>
      <c r="C31" t="s">
        <v>907</v>
      </c>
      <c r="D31" s="79" t="e">
        <f>E31*(1+$O$1)</f>
        <v>#VALUE!</v>
      </c>
      <c r="E31" s="79">
        <f>AVERAGE(G31:Q31)</f>
        <v>1.86</v>
      </c>
      <c r="F31" s="79" t="e">
        <f>STDEV(G31:Q31)</f>
        <v>#DIV/0!</v>
      </c>
      <c r="G31" s="79"/>
      <c r="H31" s="79"/>
      <c r="I31" s="79"/>
      <c r="J31" s="140"/>
      <c r="K31" s="141"/>
      <c r="O31" s="155">
        <v>1.86</v>
      </c>
      <c r="S31" s="112"/>
      <c r="T31" s="159"/>
    </row>
    <row r="32" spans="1:20">
      <c r="A32" s="322" t="s">
        <v>892</v>
      </c>
      <c r="B32" t="s">
        <v>49</v>
      </c>
      <c r="C32" t="s">
        <v>908</v>
      </c>
      <c r="D32" s="79" t="e">
        <f>E32*(1+$O$1)</f>
        <v>#VALUE!</v>
      </c>
      <c r="E32" s="79">
        <f>AVERAGE(G32:Q32)</f>
        <v>2.6666666666666665</v>
      </c>
      <c r="F32" s="79">
        <f>STDEV(G32:Q32)</f>
        <v>1.3316656236958793</v>
      </c>
      <c r="G32" s="79"/>
      <c r="H32" s="79">
        <v>2</v>
      </c>
      <c r="I32" s="79"/>
      <c r="J32" s="140"/>
      <c r="K32" s="141"/>
      <c r="L32" s="155">
        <v>1.8</v>
      </c>
      <c r="O32" s="155">
        <v>4.2</v>
      </c>
      <c r="S32" s="112"/>
      <c r="T32" s="159"/>
    </row>
    <row r="33" spans="1:20">
      <c r="A33" s="322" t="s">
        <v>142</v>
      </c>
      <c r="B33" t="s">
        <v>22</v>
      </c>
      <c r="C33" t="s">
        <v>906</v>
      </c>
      <c r="D33" s="79" t="e">
        <f>E33*(1+$O$1)</f>
        <v>#VALUE!</v>
      </c>
      <c r="E33" s="79">
        <f>AVERAGE(G33:Q33)</f>
        <v>1.65</v>
      </c>
      <c r="F33" s="79">
        <f>STDEV(G33:Q33)</f>
        <v>0.63639610306789296</v>
      </c>
      <c r="G33" s="79"/>
      <c r="H33" s="79"/>
      <c r="I33" s="79"/>
      <c r="J33" s="140"/>
      <c r="K33" s="141"/>
      <c r="N33" s="155">
        <v>1.2</v>
      </c>
      <c r="O33" s="155">
        <v>2.1</v>
      </c>
      <c r="S33" s="112"/>
      <c r="T33" s="159"/>
    </row>
    <row r="34" spans="1:20">
      <c r="A34" s="322" t="s">
        <v>142</v>
      </c>
      <c r="B34" t="s">
        <v>26</v>
      </c>
      <c r="C34" t="s">
        <v>934</v>
      </c>
      <c r="D34" s="79" t="e">
        <f>E34*(1+$O$1)</f>
        <v>#VALUE!</v>
      </c>
      <c r="E34" s="79">
        <f>AVERAGE(G34:Q34)</f>
        <v>1.55</v>
      </c>
      <c r="F34" s="79">
        <f>STDEV(G34:Q34)</f>
        <v>0.77781745930520196</v>
      </c>
      <c r="G34" s="79"/>
      <c r="H34" s="79"/>
      <c r="I34" s="79"/>
      <c r="J34" s="140"/>
      <c r="K34" s="141"/>
      <c r="N34" s="155">
        <v>1</v>
      </c>
      <c r="O34" s="155">
        <v>2.1</v>
      </c>
      <c r="S34" s="112"/>
      <c r="T34" s="159"/>
    </row>
    <row r="35" spans="1:20">
      <c r="A35" s="322" t="s">
        <v>142</v>
      </c>
      <c r="B35" t="s">
        <v>41</v>
      </c>
      <c r="C35" t="s">
        <v>106</v>
      </c>
      <c r="D35" s="79">
        <f>E35*(1+$T$1)</f>
        <v>2.4900000000000002</v>
      </c>
      <c r="E35" s="79">
        <f>AVERAGE(G35:Q35)</f>
        <v>1.6600000000000001</v>
      </c>
      <c r="F35" s="79">
        <f>STDEV(G35:Q35)</f>
        <v>0.19697715603592203</v>
      </c>
      <c r="G35" s="79">
        <v>1.6</v>
      </c>
      <c r="H35" s="79"/>
      <c r="I35" s="79"/>
      <c r="J35" s="140"/>
      <c r="K35" s="141"/>
      <c r="L35" s="155">
        <v>1.5</v>
      </c>
      <c r="O35" s="155">
        <v>1.88</v>
      </c>
      <c r="S35" s="112"/>
      <c r="T35" s="159"/>
    </row>
    <row r="36" spans="1:20">
      <c r="A36" t="s">
        <v>892</v>
      </c>
      <c r="B36" t="s">
        <v>49</v>
      </c>
      <c r="C36" t="s">
        <v>119</v>
      </c>
      <c r="D36" s="79">
        <f>E36*(1+$T$1)</f>
        <v>1.9500000000000002</v>
      </c>
      <c r="E36" s="79">
        <f>AVERAGE(G36:Q36)</f>
        <v>1.3</v>
      </c>
      <c r="F36" s="79">
        <f>STDEV(G36:Q36)</f>
        <v>0.28284271247461834</v>
      </c>
      <c r="G36" s="140"/>
      <c r="H36" s="140"/>
      <c r="I36" s="79">
        <v>1.1000000000000001</v>
      </c>
      <c r="J36" s="140"/>
      <c r="K36" s="141"/>
      <c r="O36" s="155">
        <v>1.5</v>
      </c>
      <c r="S36" s="112"/>
      <c r="T36" s="159"/>
    </row>
    <row r="37" spans="1:20">
      <c r="A37" s="322" t="s">
        <v>21</v>
      </c>
      <c r="B37" t="s">
        <v>26</v>
      </c>
      <c r="C37" t="s">
        <v>28</v>
      </c>
      <c r="D37" s="79">
        <f>E37*(1+$T$1)</f>
        <v>2.37</v>
      </c>
      <c r="E37" s="79">
        <f>AVERAGE(G37:Q37)</f>
        <v>1.58</v>
      </c>
      <c r="F37" s="79">
        <f>STDEV(G37:Q37)</f>
        <v>0.3204684071792413</v>
      </c>
      <c r="G37" s="79"/>
      <c r="H37" s="79">
        <v>1.6</v>
      </c>
      <c r="I37" s="79">
        <v>1.25</v>
      </c>
      <c r="J37" s="140"/>
      <c r="K37" s="141"/>
      <c r="O37" s="155">
        <v>1.89</v>
      </c>
    </row>
    <row r="38" spans="1:20">
      <c r="A38" s="322" t="s">
        <v>21</v>
      </c>
      <c r="B38" t="s">
        <v>33</v>
      </c>
      <c r="C38" t="s">
        <v>34</v>
      </c>
      <c r="D38" s="79">
        <f>E38*(1+$T$1)</f>
        <v>2.3549999999999995</v>
      </c>
      <c r="E38" s="79">
        <f>AVERAGE(G38:Q38)</f>
        <v>1.5699999999999998</v>
      </c>
      <c r="F38" s="79">
        <f>STDEV(G38:Q38)</f>
        <v>0.45254833995939103</v>
      </c>
      <c r="G38" s="79"/>
      <c r="H38" s="79"/>
      <c r="I38" s="79">
        <v>1.25</v>
      </c>
      <c r="J38" s="140"/>
      <c r="K38" s="141"/>
      <c r="O38" s="155">
        <v>1.89</v>
      </c>
    </row>
    <row r="39" spans="1:20">
      <c r="A39" s="322" t="s">
        <v>142</v>
      </c>
      <c r="B39" t="s">
        <v>26</v>
      </c>
      <c r="C39" t="s">
        <v>364</v>
      </c>
      <c r="D39" s="79" t="e">
        <f>E39*(1+$O$1)</f>
        <v>#VALUE!</v>
      </c>
      <c r="E39" s="79">
        <f>AVERAGE(G39:Q39)</f>
        <v>1.5</v>
      </c>
      <c r="F39" s="79" t="e">
        <f>STDEV(G39:Q39)</f>
        <v>#DIV/0!</v>
      </c>
      <c r="G39" s="79"/>
      <c r="H39" s="79"/>
      <c r="I39" s="79"/>
      <c r="J39" s="140"/>
      <c r="K39" s="141"/>
      <c r="O39" s="155">
        <v>1.5</v>
      </c>
    </row>
    <row r="40" spans="1:20">
      <c r="A40" t="s">
        <v>142</v>
      </c>
      <c r="B40" t="s">
        <v>22</v>
      </c>
      <c r="C40" t="s">
        <v>47</v>
      </c>
      <c r="D40" s="79">
        <f>E40*(1+$T$1)</f>
        <v>6.15</v>
      </c>
      <c r="E40" s="79">
        <f>AVERAGE(G40:Q40)</f>
        <v>4.1000000000000005</v>
      </c>
      <c r="F40" s="79">
        <f>STDEV(G40:Q40)</f>
        <v>0.36055512754639901</v>
      </c>
      <c r="G40" s="79"/>
      <c r="H40" s="79">
        <v>3.8</v>
      </c>
      <c r="I40" s="79"/>
      <c r="J40" s="140"/>
      <c r="K40" s="141"/>
      <c r="L40" s="155">
        <v>4</v>
      </c>
      <c r="O40" s="155">
        <v>4.5</v>
      </c>
    </row>
    <row r="41" spans="1:20">
      <c r="A41" s="322" t="s">
        <v>142</v>
      </c>
      <c r="B41" t="s">
        <v>26</v>
      </c>
      <c r="C41" t="s">
        <v>83</v>
      </c>
      <c r="D41" s="79">
        <f>E41*(1+$T$1)</f>
        <v>4.51</v>
      </c>
      <c r="E41" s="79">
        <f>AVERAGE(G41:Q41)</f>
        <v>3.0066666666666664</v>
      </c>
      <c r="F41" s="79">
        <f>STDEV(G41:Q41)</f>
        <v>0.59002824791134789</v>
      </c>
      <c r="G41" s="79">
        <v>3</v>
      </c>
      <c r="H41" s="79"/>
      <c r="I41" s="79"/>
      <c r="J41" s="140"/>
      <c r="K41" s="141"/>
      <c r="L41" s="155">
        <v>2.42</v>
      </c>
      <c r="O41" s="155">
        <v>3.6</v>
      </c>
    </row>
    <row r="42" spans="1:20">
      <c r="A42" s="322" t="s">
        <v>142</v>
      </c>
      <c r="B42" t="s">
        <v>26</v>
      </c>
      <c r="C42" t="s">
        <v>84</v>
      </c>
      <c r="D42" s="79">
        <f>E42*(1+$T$1)</f>
        <v>4.9499999999999993</v>
      </c>
      <c r="E42" s="79">
        <f>AVERAGE(G42:Q42)</f>
        <v>3.3</v>
      </c>
      <c r="F42" s="79">
        <f>STDEV(G42:Q42)</f>
        <v>0.42426406871192857</v>
      </c>
      <c r="G42" s="79">
        <v>3</v>
      </c>
      <c r="H42" s="79"/>
      <c r="I42" s="79"/>
      <c r="J42" s="140"/>
      <c r="K42" s="141"/>
      <c r="O42" s="155">
        <v>3.6</v>
      </c>
    </row>
    <row r="43" spans="1:20">
      <c r="A43" s="322" t="s">
        <v>892</v>
      </c>
      <c r="B43" t="s">
        <v>26</v>
      </c>
      <c r="C43" t="s">
        <v>92</v>
      </c>
      <c r="D43" s="79">
        <f>E43*(1+$T$1)</f>
        <v>2</v>
      </c>
      <c r="E43" s="79">
        <f>AVERAGE(G43:Q43)</f>
        <v>1.3333333333333333</v>
      </c>
      <c r="F43" s="79">
        <f>STDEV(G43:Q43)</f>
        <v>0.15275252316519469</v>
      </c>
      <c r="G43" s="79">
        <v>1.3</v>
      </c>
      <c r="H43" s="79">
        <v>1.2</v>
      </c>
      <c r="I43" s="79"/>
      <c r="J43" s="140"/>
      <c r="K43" s="141"/>
      <c r="N43" s="155">
        <v>1.5</v>
      </c>
    </row>
    <row r="44" spans="1:20">
      <c r="A44" s="322" t="s">
        <v>892</v>
      </c>
      <c r="B44" t="s">
        <v>33</v>
      </c>
      <c r="C44" t="s">
        <v>92</v>
      </c>
      <c r="D44" s="79">
        <f>E44*(1+$T$1)</f>
        <v>2</v>
      </c>
      <c r="E44" s="79">
        <f>AVERAGE(G44:Q44)</f>
        <v>1.3333333333333333</v>
      </c>
      <c r="F44" s="79">
        <f>STDEV(G44:Q44)</f>
        <v>0.15275252316519469</v>
      </c>
      <c r="G44" s="79">
        <v>1.3</v>
      </c>
      <c r="H44" s="79">
        <v>1.2</v>
      </c>
      <c r="I44" s="79"/>
      <c r="J44" s="140"/>
      <c r="K44" s="141"/>
      <c r="N44" s="155">
        <v>1.5</v>
      </c>
    </row>
    <row r="45" spans="1:20">
      <c r="A45" s="322" t="s">
        <v>892</v>
      </c>
      <c r="B45" t="s">
        <v>41</v>
      </c>
      <c r="C45" t="s">
        <v>113</v>
      </c>
      <c r="D45" s="79">
        <f>E45*(1+$T$1)</f>
        <v>1.75</v>
      </c>
      <c r="E45" s="79">
        <f>AVERAGE(G45:Q45)</f>
        <v>1.1666666666666667</v>
      </c>
      <c r="F45" s="79">
        <f>STDEV(G45:Q45)</f>
        <v>0.15275252316519497</v>
      </c>
      <c r="G45" s="79">
        <v>1.3</v>
      </c>
      <c r="H45" s="79">
        <v>1.2</v>
      </c>
      <c r="I45" s="79">
        <v>1</v>
      </c>
      <c r="J45" s="140"/>
      <c r="K45" s="141"/>
    </row>
    <row r="46" spans="1:20">
      <c r="A46" s="322" t="s">
        <v>892</v>
      </c>
      <c r="B46" t="s">
        <v>41</v>
      </c>
      <c r="C46" t="s">
        <v>909</v>
      </c>
      <c r="D46" s="79" t="e">
        <f>E46*(1+$O$1)</f>
        <v>#VALUE!</v>
      </c>
      <c r="E46" s="79">
        <f>AVERAGE(G46:Q46)</f>
        <v>1.68</v>
      </c>
      <c r="F46" s="79" t="e">
        <f>STDEV(G46:Q46)</f>
        <v>#DIV/0!</v>
      </c>
      <c r="G46" s="79"/>
      <c r="H46" s="79"/>
      <c r="I46" s="79"/>
      <c r="J46" s="140"/>
      <c r="K46" s="141"/>
      <c r="O46" s="155">
        <v>1.68</v>
      </c>
    </row>
    <row r="47" spans="1:20">
      <c r="A47" s="322" t="s">
        <v>892</v>
      </c>
      <c r="B47" t="s">
        <v>49</v>
      </c>
      <c r="C47" t="s">
        <v>120</v>
      </c>
      <c r="D47" s="79">
        <f>E47*(1+$T$1)</f>
        <v>2.8875000000000002</v>
      </c>
      <c r="E47" s="79">
        <f>AVERAGE(G47:Q47)</f>
        <v>1.925</v>
      </c>
      <c r="F47" s="79">
        <f>STDEV(G47:Q47)</f>
        <v>0.38568121551353746</v>
      </c>
      <c r="G47" s="79">
        <v>1.4</v>
      </c>
      <c r="H47" s="79">
        <v>1.95</v>
      </c>
      <c r="I47" s="79"/>
      <c r="J47" s="140">
        <v>2.25</v>
      </c>
      <c r="K47" s="141"/>
      <c r="L47" s="155">
        <v>2.2000000000000002</v>
      </c>
      <c r="O47" s="155">
        <v>2.25</v>
      </c>
      <c r="P47" s="155">
        <v>1.5</v>
      </c>
    </row>
    <row r="48" spans="1:20">
      <c r="A48" s="156" t="s">
        <v>55</v>
      </c>
      <c r="B48" t="s">
        <v>49</v>
      </c>
      <c r="C48" t="s">
        <v>63</v>
      </c>
      <c r="D48" s="79">
        <f>E48*(1+$T$1)</f>
        <v>1.8000000000000003</v>
      </c>
      <c r="E48" s="79">
        <f>AVERAGE(G48:Q48)</f>
        <v>1.2000000000000002</v>
      </c>
      <c r="F48" s="79">
        <f>STDEV(G48:Q48)</f>
        <v>0.14142135623730948</v>
      </c>
      <c r="G48" s="79">
        <v>1.1000000000000001</v>
      </c>
      <c r="H48" s="79">
        <v>1.3</v>
      </c>
      <c r="I48" s="157"/>
      <c r="J48" s="140"/>
      <c r="K48" s="141"/>
    </row>
    <row r="49" spans="1:16">
      <c r="A49" s="156" t="s">
        <v>30</v>
      </c>
      <c r="B49" t="s">
        <v>33</v>
      </c>
      <c r="C49" t="s">
        <v>38</v>
      </c>
      <c r="D49" s="79">
        <f>E49*(1+$T$1)</f>
        <v>1.875</v>
      </c>
      <c r="E49" s="79">
        <f>AVERAGE(G49:Q49)</f>
        <v>1.25</v>
      </c>
      <c r="F49" s="79" t="e">
        <f>STDEV(G49:Q49)</f>
        <v>#DIV/0!</v>
      </c>
      <c r="G49" s="140"/>
      <c r="H49" s="140"/>
      <c r="I49" s="157">
        <v>1.25</v>
      </c>
      <c r="J49" s="140"/>
      <c r="K49" s="141"/>
    </row>
    <row r="50" spans="1:16">
      <c r="A50" s="156" t="s">
        <v>142</v>
      </c>
      <c r="B50" t="s">
        <v>26</v>
      </c>
      <c r="C50" t="s">
        <v>936</v>
      </c>
      <c r="D50" s="79" t="e">
        <f>E50*(1+$O$1)</f>
        <v>#VALUE!</v>
      </c>
      <c r="E50" s="79">
        <f>AVERAGE(G50:Q50)</f>
        <v>1.4460000000000002</v>
      </c>
      <c r="F50" s="79">
        <f>STDEV(G50:Q50)</f>
        <v>0.25510782034269269</v>
      </c>
      <c r="G50" s="140"/>
      <c r="H50" s="140">
        <v>1.3</v>
      </c>
      <c r="I50" s="157"/>
      <c r="J50" s="140">
        <v>1.45</v>
      </c>
      <c r="K50" s="141"/>
      <c r="N50" s="155">
        <v>1.7</v>
      </c>
      <c r="O50" s="155">
        <v>1.68</v>
      </c>
      <c r="P50" s="155">
        <v>1.1000000000000001</v>
      </c>
    </row>
    <row r="51" spans="1:16">
      <c r="A51" s="156" t="s">
        <v>142</v>
      </c>
      <c r="B51" t="s">
        <v>26</v>
      </c>
      <c r="C51" t="s">
        <v>85</v>
      </c>
      <c r="D51" s="79">
        <f>E51*(1+$T$1)</f>
        <v>1.5</v>
      </c>
      <c r="E51" s="79">
        <f>AVERAGE(G51:Q51)</f>
        <v>1</v>
      </c>
      <c r="F51" s="79" t="e">
        <f>STDEV(G51:Q51)</f>
        <v>#DIV/0!</v>
      </c>
      <c r="G51" s="79"/>
      <c r="H51" s="79"/>
      <c r="I51" s="157">
        <v>1</v>
      </c>
      <c r="J51" s="140"/>
      <c r="K51" s="141"/>
    </row>
    <row r="52" spans="1:16">
      <c r="A52" s="156" t="s">
        <v>894</v>
      </c>
      <c r="B52" t="s">
        <v>51</v>
      </c>
      <c r="C52" t="s">
        <v>901</v>
      </c>
      <c r="D52" s="79" t="e">
        <f>E52*(1+$O$1)</f>
        <v>#VALUE!</v>
      </c>
      <c r="E52" s="79">
        <f>AVERAGE(G52:Q52)</f>
        <v>1.5</v>
      </c>
      <c r="F52" s="79" t="e">
        <f>STDEV(G52:Q52)</f>
        <v>#DIV/0!</v>
      </c>
      <c r="G52" s="79"/>
      <c r="H52" s="79"/>
      <c r="I52" s="157"/>
      <c r="J52" s="140"/>
      <c r="K52" s="141"/>
      <c r="O52" s="155">
        <v>1.5</v>
      </c>
    </row>
    <row r="53" spans="1:16">
      <c r="A53" s="156" t="s">
        <v>142</v>
      </c>
      <c r="B53" t="s">
        <v>51</v>
      </c>
      <c r="C53" t="s">
        <v>136</v>
      </c>
      <c r="D53" s="79">
        <f>E53*(1+$T$1)</f>
        <v>2.25</v>
      </c>
      <c r="E53" s="79">
        <f>AVERAGE(G53:Q53)</f>
        <v>1.5</v>
      </c>
      <c r="F53" s="79">
        <f>STDEV(G53:Q53)</f>
        <v>0.21602468994692911</v>
      </c>
      <c r="G53" s="79">
        <f>14/10</f>
        <v>1.4</v>
      </c>
      <c r="H53" s="79"/>
      <c r="I53" s="157"/>
      <c r="J53" s="140"/>
      <c r="K53" s="141"/>
      <c r="N53" s="155">
        <v>1.3</v>
      </c>
      <c r="O53" s="155">
        <v>1.8</v>
      </c>
      <c r="P53" s="155">
        <v>1.5</v>
      </c>
    </row>
    <row r="54" spans="1:16">
      <c r="A54" s="156" t="s">
        <v>30</v>
      </c>
      <c r="B54" t="s">
        <v>51</v>
      </c>
      <c r="C54" t="s">
        <v>53</v>
      </c>
      <c r="D54" s="79">
        <f>E54*(1+$T$1)</f>
        <v>2.2874999999999996</v>
      </c>
      <c r="E54" s="79">
        <f>AVERAGE(G54:Q54)</f>
        <v>1.5249999999999999</v>
      </c>
      <c r="F54" s="79">
        <f>STDEV(G54:Q54)</f>
        <v>0.60104076400856621</v>
      </c>
      <c r="G54" s="79">
        <v>1.1000000000000001</v>
      </c>
      <c r="H54" s="79"/>
      <c r="I54" s="157"/>
      <c r="J54" s="140"/>
      <c r="K54" s="141"/>
      <c r="O54" s="155">
        <v>1.95</v>
      </c>
    </row>
    <row r="55" spans="1:16">
      <c r="A55" s="156" t="s">
        <v>142</v>
      </c>
      <c r="B55" t="s">
        <v>41</v>
      </c>
      <c r="C55" t="s">
        <v>107</v>
      </c>
      <c r="D55" s="79">
        <f>E55*(1+$T$1)</f>
        <v>1.9500000000000002</v>
      </c>
      <c r="E55" s="79">
        <f>AVERAGE(G55:Q55)</f>
        <v>1.3</v>
      </c>
      <c r="F55" s="79" t="e">
        <f>STDEV(G55:Q55)</f>
        <v>#DIV/0!</v>
      </c>
      <c r="G55" s="79">
        <v>1.3</v>
      </c>
      <c r="H55" s="79"/>
      <c r="I55" s="157"/>
      <c r="J55" s="140"/>
      <c r="K55" s="141"/>
    </row>
    <row r="56" spans="1:16">
      <c r="A56" s="156" t="s">
        <v>55</v>
      </c>
      <c r="B56" t="s">
        <v>51</v>
      </c>
      <c r="C56" t="s">
        <v>64</v>
      </c>
      <c r="D56" s="79">
        <f>E56*(1+$T$1)</f>
        <v>2.0249999999999999</v>
      </c>
      <c r="E56" s="79">
        <f>AVERAGE(G56:Q56)</f>
        <v>1.3499999999999999</v>
      </c>
      <c r="F56" s="79">
        <f>STDEV(G56:Q56)</f>
        <v>0.68738635424337613</v>
      </c>
      <c r="G56" s="79">
        <v>1.5</v>
      </c>
      <c r="H56" s="79"/>
      <c r="I56" s="157"/>
      <c r="J56" s="140"/>
      <c r="K56" s="141"/>
      <c r="O56" s="155">
        <v>1.95</v>
      </c>
      <c r="P56" s="155">
        <v>0.6</v>
      </c>
    </row>
    <row r="57" spans="1:16">
      <c r="A57" s="156" t="s">
        <v>892</v>
      </c>
      <c r="B57" t="s">
        <v>33</v>
      </c>
      <c r="C57" t="s">
        <v>95</v>
      </c>
      <c r="D57" s="79">
        <f>E57*(1+$T$1)</f>
        <v>1.9899999999999998</v>
      </c>
      <c r="E57" s="79">
        <f>AVERAGE(G57:Q57)</f>
        <v>1.3266666666666664</v>
      </c>
      <c r="F57" s="79">
        <f>STDEV(G57:Q57)</f>
        <v>0.31005375877956043</v>
      </c>
      <c r="G57" s="79"/>
      <c r="H57" s="79"/>
      <c r="I57" s="157">
        <v>1.2</v>
      </c>
      <c r="J57" s="140"/>
      <c r="K57" s="141"/>
      <c r="N57" s="155">
        <v>1.1000000000000001</v>
      </c>
      <c r="O57" s="155">
        <v>1.68</v>
      </c>
    </row>
    <row r="58" spans="1:16">
      <c r="A58" s="156" t="s">
        <v>142</v>
      </c>
      <c r="B58" t="s">
        <v>49</v>
      </c>
      <c r="C58" t="s">
        <v>127</v>
      </c>
      <c r="D58" s="79">
        <f>E58*(1+$T$1)</f>
        <v>2.0250000000000004</v>
      </c>
      <c r="E58" s="79">
        <f>AVERAGE(G58:Q58)</f>
        <v>1.35</v>
      </c>
      <c r="F58" s="79">
        <f>STDEV(G58:Q58)</f>
        <v>0.21213203435596303</v>
      </c>
      <c r="G58" s="79">
        <v>1.2</v>
      </c>
      <c r="H58" s="79"/>
      <c r="I58" s="157"/>
      <c r="J58" s="140"/>
      <c r="K58" s="141"/>
      <c r="O58" s="155">
        <v>1.5</v>
      </c>
    </row>
    <row r="59" spans="1:16">
      <c r="A59" s="156" t="s">
        <v>142</v>
      </c>
      <c r="B59" t="s">
        <v>33</v>
      </c>
      <c r="C59" t="s">
        <v>910</v>
      </c>
      <c r="D59" s="79" t="e">
        <f>E59*(1+$O$1)</f>
        <v>#VALUE!</v>
      </c>
      <c r="E59" s="79">
        <f>AVERAGE(G59:Q59)</f>
        <v>1.89</v>
      </c>
      <c r="F59" s="79" t="e">
        <f>STDEV(G59:Q59)</f>
        <v>#DIV/0!</v>
      </c>
      <c r="G59" s="79"/>
      <c r="H59" s="79"/>
      <c r="I59" s="157"/>
      <c r="J59" s="140"/>
      <c r="K59" s="141"/>
      <c r="O59" s="155">
        <v>1.89</v>
      </c>
    </row>
    <row r="60" spans="1:16">
      <c r="A60" s="156" t="s">
        <v>21</v>
      </c>
      <c r="B60" t="s">
        <v>49</v>
      </c>
      <c r="C60" t="s">
        <v>50</v>
      </c>
      <c r="D60" s="79">
        <f>E60*(1+$T$1)</f>
        <v>5.3625000000000007</v>
      </c>
      <c r="E60" s="79">
        <f>AVERAGE(G60:Q60)</f>
        <v>3.5750000000000002</v>
      </c>
      <c r="F60" s="79">
        <f>STDEV(G60:Q60)</f>
        <v>1.5202795795510775</v>
      </c>
      <c r="G60" s="140"/>
      <c r="H60" s="140"/>
      <c r="I60" s="157">
        <v>2.5</v>
      </c>
      <c r="J60" s="140"/>
      <c r="K60" s="141"/>
      <c r="O60" s="155">
        <v>4.6500000000000004</v>
      </c>
    </row>
    <row r="61" spans="1:16">
      <c r="A61" s="156" t="s">
        <v>892</v>
      </c>
      <c r="B61" t="s">
        <v>22</v>
      </c>
      <c r="C61" t="s">
        <v>916</v>
      </c>
      <c r="D61" s="79">
        <f>E61*(1+$T$1)</f>
        <v>6.0950000000000006</v>
      </c>
      <c r="E61" s="79">
        <f>AVERAGE(G61:Q61)</f>
        <v>4.0633333333333335</v>
      </c>
      <c r="F61" s="79">
        <f>STDEV(G61:Q61)</f>
        <v>2.0895055236426936</v>
      </c>
      <c r="G61" s="79"/>
      <c r="H61" s="79">
        <v>1.79</v>
      </c>
      <c r="I61" s="157"/>
      <c r="J61" s="140"/>
      <c r="K61" s="141"/>
      <c r="O61" s="155">
        <v>4.5</v>
      </c>
      <c r="P61" s="155">
        <v>5.9</v>
      </c>
    </row>
    <row r="62" spans="1:16">
      <c r="A62" s="156" t="s">
        <v>892</v>
      </c>
      <c r="B62" t="s">
        <v>26</v>
      </c>
      <c r="C62" t="s">
        <v>917</v>
      </c>
      <c r="D62" s="79">
        <f>E62*(1+$T$1)</f>
        <v>2.6850000000000001</v>
      </c>
      <c r="E62" s="79">
        <f>AVERAGE(G62:Q62)</f>
        <v>1.79</v>
      </c>
      <c r="F62" s="79" t="e">
        <f>STDEV(G62:Q62)</f>
        <v>#DIV/0!</v>
      </c>
      <c r="G62" s="79"/>
      <c r="H62" s="79">
        <v>1.79</v>
      </c>
      <c r="I62" s="157"/>
      <c r="J62" s="140"/>
      <c r="K62" s="141"/>
    </row>
    <row r="63" spans="1:16">
      <c r="A63" s="156" t="s">
        <v>142</v>
      </c>
      <c r="B63" t="s">
        <v>51</v>
      </c>
      <c r="C63" t="s">
        <v>941</v>
      </c>
      <c r="D63" s="79">
        <f>E63*(1+$T$1)</f>
        <v>2.0999999999999996</v>
      </c>
      <c r="E63" s="79">
        <f>AVERAGE(G63:Q63)</f>
        <v>1.4</v>
      </c>
      <c r="F63" s="79">
        <f>STDEV(G63:Q63)</f>
        <v>0.14142135623730948</v>
      </c>
      <c r="G63" s="79">
        <v>1.5</v>
      </c>
      <c r="H63" s="79">
        <v>1.3</v>
      </c>
      <c r="I63" s="157"/>
      <c r="J63" s="140"/>
      <c r="K63" s="141"/>
    </row>
    <row r="64" spans="1:16">
      <c r="A64" s="156" t="s">
        <v>55</v>
      </c>
      <c r="B64" t="s">
        <v>41</v>
      </c>
      <c r="C64" t="s">
        <v>65</v>
      </c>
      <c r="D64" s="79">
        <f>E64*(1+$T$1)</f>
        <v>2.0474999999999999</v>
      </c>
      <c r="E64" s="79">
        <f>AVERAGE(G64:Q64)</f>
        <v>1.365</v>
      </c>
      <c r="F64" s="79">
        <f>STDEV(G64:Q64)</f>
        <v>0.3323401871576776</v>
      </c>
      <c r="G64" s="79">
        <v>1.1299999999999999</v>
      </c>
      <c r="H64" s="79"/>
      <c r="I64" s="157"/>
      <c r="J64" s="140"/>
      <c r="K64" s="141"/>
      <c r="O64" s="155">
        <v>1.6</v>
      </c>
    </row>
    <row r="65" spans="1:16">
      <c r="A65" s="156" t="s">
        <v>55</v>
      </c>
      <c r="B65" t="s">
        <v>33</v>
      </c>
      <c r="C65" t="s">
        <v>66</v>
      </c>
      <c r="D65" s="79">
        <f>E65*(1+$T$1)</f>
        <v>2.25</v>
      </c>
      <c r="E65" s="79">
        <f>AVERAGE(G65:Q65)</f>
        <v>1.5</v>
      </c>
      <c r="F65" s="79" t="e">
        <f>STDEV(G65:Q65)</f>
        <v>#DIV/0!</v>
      </c>
      <c r="G65" s="140"/>
      <c r="H65" s="140"/>
      <c r="I65" s="157">
        <v>1.5</v>
      </c>
      <c r="J65" s="140"/>
      <c r="K65" s="141"/>
    </row>
    <row r="66" spans="1:16">
      <c r="A66" s="156" t="s">
        <v>142</v>
      </c>
      <c r="B66" t="s">
        <v>41</v>
      </c>
      <c r="C66" t="s">
        <v>108</v>
      </c>
      <c r="D66" s="79">
        <f>E66*(1+$T$1)</f>
        <v>1.7999999999999998</v>
      </c>
      <c r="E66" s="79">
        <f>AVERAGE(G66:Q66)</f>
        <v>1.2</v>
      </c>
      <c r="F66" s="79">
        <f>STDEV(G66:Q66)</f>
        <v>0.36055512754639879</v>
      </c>
      <c r="G66" s="79">
        <v>1.3</v>
      </c>
      <c r="H66" s="79">
        <v>0.8</v>
      </c>
      <c r="I66" s="157"/>
      <c r="J66" s="140"/>
      <c r="K66" s="141"/>
      <c r="L66" s="155">
        <v>1.5</v>
      </c>
    </row>
    <row r="67" spans="1:16">
      <c r="A67" s="156" t="s">
        <v>142</v>
      </c>
      <c r="B67" t="s">
        <v>33</v>
      </c>
      <c r="C67" t="s">
        <v>99</v>
      </c>
      <c r="D67" s="79">
        <f>E67*(1+$T$1)</f>
        <v>1.7999999999999998</v>
      </c>
      <c r="E67" s="79">
        <f>AVERAGE(G67:Q67)</f>
        <v>1.2</v>
      </c>
      <c r="F67" s="79" t="e">
        <f>STDEV(G67:Q67)</f>
        <v>#DIV/0!</v>
      </c>
      <c r="G67" s="79"/>
      <c r="H67" s="79"/>
      <c r="I67" s="157">
        <v>1.2</v>
      </c>
      <c r="J67" s="140"/>
      <c r="K67" s="141"/>
    </row>
    <row r="68" spans="1:16">
      <c r="A68" s="156" t="s">
        <v>21</v>
      </c>
      <c r="B68" t="s">
        <v>33</v>
      </c>
      <c r="C68" t="s">
        <v>35</v>
      </c>
      <c r="D68" s="79">
        <f>E68*(1+$T$1)</f>
        <v>4.0537499999999991</v>
      </c>
      <c r="E68" s="79">
        <f>AVERAGE(G68:Q68)</f>
        <v>2.7024999999999997</v>
      </c>
      <c r="F68" s="79">
        <f>STDEV(G68:Q68)</f>
        <v>0.8266549058303202</v>
      </c>
      <c r="G68" s="79"/>
      <c r="H68" s="79">
        <v>3.6</v>
      </c>
      <c r="I68" s="157">
        <v>2</v>
      </c>
      <c r="J68" s="140"/>
      <c r="K68" s="141"/>
      <c r="L68" s="155">
        <v>2</v>
      </c>
      <c r="O68" s="155">
        <v>3.21</v>
      </c>
    </row>
    <row r="69" spans="1:16">
      <c r="A69" s="156" t="s">
        <v>894</v>
      </c>
      <c r="B69" t="s">
        <v>51</v>
      </c>
      <c r="C69" t="s">
        <v>137</v>
      </c>
      <c r="D69" s="79">
        <f>E69*(1+$T$1)</f>
        <v>1.9500000000000002</v>
      </c>
      <c r="E69" s="79">
        <f>AVERAGE(G69:Q69)</f>
        <v>1.3</v>
      </c>
      <c r="F69" s="79" t="e">
        <f>STDEV(G69:Q69)</f>
        <v>#DIV/0!</v>
      </c>
      <c r="G69" s="79">
        <v>1.3</v>
      </c>
      <c r="H69" s="79"/>
      <c r="I69" s="157"/>
      <c r="J69" s="140"/>
      <c r="K69" s="141"/>
    </row>
    <row r="70" spans="1:16">
      <c r="A70" s="156" t="s">
        <v>142</v>
      </c>
      <c r="B70" t="s">
        <v>49</v>
      </c>
      <c r="C70" t="s">
        <v>912</v>
      </c>
      <c r="D70" s="79" t="e">
        <f>E70*(1+$O$1)</f>
        <v>#VALUE!</v>
      </c>
      <c r="E70" s="79">
        <f>AVERAGE(G70:Q70)</f>
        <v>2.7850000000000001</v>
      </c>
      <c r="F70" s="79">
        <f>STDEV(G70:Q70)</f>
        <v>2.0718510242453894</v>
      </c>
      <c r="G70" s="79"/>
      <c r="H70" s="79">
        <v>3.49</v>
      </c>
      <c r="I70" s="157"/>
      <c r="J70" s="140"/>
      <c r="K70" s="141"/>
      <c r="L70" s="155">
        <v>1</v>
      </c>
      <c r="N70" s="155">
        <v>1.25</v>
      </c>
      <c r="O70" s="155">
        <v>5.4</v>
      </c>
    </row>
    <row r="71" spans="1:16">
      <c r="A71" s="156" t="s">
        <v>142</v>
      </c>
      <c r="B71" t="s">
        <v>49</v>
      </c>
      <c r="C71" t="s">
        <v>911</v>
      </c>
      <c r="D71" s="79" t="e">
        <f>E71*(1+$O$1)</f>
        <v>#VALUE!</v>
      </c>
      <c r="E71" s="79">
        <f>AVERAGE(G71:Q71)</f>
        <v>1.89</v>
      </c>
      <c r="F71" s="79" t="e">
        <f>STDEV(G71:Q71)</f>
        <v>#DIV/0!</v>
      </c>
      <c r="G71" s="79"/>
      <c r="H71" s="79"/>
      <c r="I71" s="157"/>
      <c r="J71" s="140"/>
      <c r="K71" s="141"/>
      <c r="O71" s="155">
        <v>1.89</v>
      </c>
    </row>
    <row r="72" spans="1:16">
      <c r="A72" s="156" t="s">
        <v>142</v>
      </c>
      <c r="B72" t="s">
        <v>51</v>
      </c>
      <c r="C72" t="s">
        <v>924</v>
      </c>
      <c r="D72" s="79" t="e">
        <f>E72*(1+$O$1)</f>
        <v>#VALUE!</v>
      </c>
      <c r="E72" s="79">
        <f>AVERAGE(G72:Q72)</f>
        <v>1.7849999999999999</v>
      </c>
      <c r="F72" s="79">
        <f>STDEV(G72:Q72)</f>
        <v>0.40305086527633177</v>
      </c>
      <c r="G72" s="79"/>
      <c r="H72" s="79"/>
      <c r="I72" s="157">
        <v>1.5</v>
      </c>
      <c r="J72" s="140"/>
      <c r="K72" s="141"/>
      <c r="O72" s="155">
        <v>2.0699999999999998</v>
      </c>
    </row>
    <row r="73" spans="1:16">
      <c r="A73" s="156" t="s">
        <v>142</v>
      </c>
      <c r="B73" t="s">
        <v>33</v>
      </c>
      <c r="C73" t="s">
        <v>930</v>
      </c>
      <c r="D73" s="79" t="e">
        <f>E73*(1+$O$1)</f>
        <v>#VALUE!</v>
      </c>
      <c r="E73" s="79">
        <f>AVERAGE(G73:Q73)</f>
        <v>1.2874999999999999</v>
      </c>
      <c r="F73" s="79">
        <f>STDEV(G73:Q73)</f>
        <v>0.20155644370746537</v>
      </c>
      <c r="G73" s="79"/>
      <c r="H73" s="79"/>
      <c r="I73" s="157">
        <v>1.5</v>
      </c>
      <c r="J73" s="140">
        <v>1.4</v>
      </c>
      <c r="K73" s="141"/>
      <c r="N73" s="155">
        <v>1.2</v>
      </c>
      <c r="P73" s="155">
        <v>1.05</v>
      </c>
    </row>
    <row r="74" spans="1:16">
      <c r="A74" s="156" t="s">
        <v>142</v>
      </c>
      <c r="B74" t="s">
        <v>49</v>
      </c>
      <c r="C74" t="s">
        <v>930</v>
      </c>
      <c r="D74" s="79" t="e">
        <f>E74*(1+$O$1)</f>
        <v>#VALUE!</v>
      </c>
      <c r="E74" s="79">
        <f>AVERAGE(G74:Q74)</f>
        <v>1.2874999999999999</v>
      </c>
      <c r="F74" s="79">
        <f>STDEV(G74:Q74)</f>
        <v>0.20155644370746537</v>
      </c>
      <c r="G74" s="79"/>
      <c r="H74" s="79"/>
      <c r="I74" s="157">
        <v>1.5</v>
      </c>
      <c r="J74" s="140">
        <v>1.4</v>
      </c>
      <c r="K74" s="141"/>
      <c r="N74" s="155">
        <v>1.2</v>
      </c>
      <c r="P74" s="155">
        <v>1.05</v>
      </c>
    </row>
    <row r="75" spans="1:16">
      <c r="A75" s="156" t="s">
        <v>142</v>
      </c>
      <c r="B75" t="s">
        <v>49</v>
      </c>
      <c r="C75" t="s">
        <v>128</v>
      </c>
      <c r="D75" s="79">
        <f>E75*(1+$T$1)</f>
        <v>1.875</v>
      </c>
      <c r="E75" s="79">
        <f>AVERAGE(G75:Q75)</f>
        <v>1.25</v>
      </c>
      <c r="F75" s="79" t="e">
        <f>STDEV(G75:Q75)</f>
        <v>#DIV/0!</v>
      </c>
      <c r="G75" s="140"/>
      <c r="H75" s="140"/>
      <c r="I75" s="157">
        <v>1.25</v>
      </c>
      <c r="J75" s="140"/>
      <c r="K75" s="141"/>
    </row>
    <row r="76" spans="1:16">
      <c r="A76" s="156" t="s">
        <v>142</v>
      </c>
      <c r="B76" t="s">
        <v>33</v>
      </c>
      <c r="C76" t="s">
        <v>100</v>
      </c>
      <c r="D76" s="79">
        <f>E76*(1+$T$1)</f>
        <v>4.0649999999999995</v>
      </c>
      <c r="E76" s="79">
        <f>AVERAGE(G76:Q76)</f>
        <v>2.71</v>
      </c>
      <c r="F76" s="79">
        <f>STDEV(G76:Q76)</f>
        <v>0.74542413621853099</v>
      </c>
      <c r="G76" s="79">
        <v>2.5</v>
      </c>
      <c r="H76" s="79">
        <v>3.5</v>
      </c>
      <c r="I76" s="157">
        <v>2.5</v>
      </c>
      <c r="J76" s="140">
        <v>2.5</v>
      </c>
      <c r="K76" s="141"/>
      <c r="L76" s="155">
        <v>3</v>
      </c>
      <c r="N76" s="155">
        <v>1.18</v>
      </c>
      <c r="O76" s="155">
        <v>3</v>
      </c>
      <c r="P76" s="155">
        <v>3.5</v>
      </c>
    </row>
    <row r="77" spans="1:16">
      <c r="A77" s="156" t="s">
        <v>30</v>
      </c>
      <c r="B77" t="s">
        <v>41</v>
      </c>
      <c r="C77" t="s">
        <v>44</v>
      </c>
      <c r="D77" s="79">
        <f>E77*(1+$T$1)</f>
        <v>1.875</v>
      </c>
      <c r="E77" s="79">
        <f>AVERAGE(G77:Q77)</f>
        <v>1.25</v>
      </c>
      <c r="F77" s="79" t="e">
        <f>STDEV(G77:Q77)</f>
        <v>#DIV/0!</v>
      </c>
      <c r="G77" s="79"/>
      <c r="H77" s="79"/>
      <c r="I77" s="157">
        <v>1.25</v>
      </c>
      <c r="J77" s="140"/>
      <c r="K77" s="141"/>
    </row>
    <row r="78" spans="1:16">
      <c r="A78" s="156" t="s">
        <v>142</v>
      </c>
      <c r="B78" t="s">
        <v>33</v>
      </c>
      <c r="C78" s="66" t="s">
        <v>101</v>
      </c>
      <c r="D78" s="79">
        <f>E78*(1+$T$1)</f>
        <v>1.6500000000000001</v>
      </c>
      <c r="E78" s="79">
        <f>AVERAGE(G78:Q78)</f>
        <v>1.1000000000000001</v>
      </c>
      <c r="F78" s="79" t="e">
        <f>STDEV(G78:Q78)</f>
        <v>#DIV/0!</v>
      </c>
      <c r="G78" s="140"/>
      <c r="H78" s="140"/>
      <c r="I78" s="157">
        <v>1.1000000000000001</v>
      </c>
      <c r="J78" s="140"/>
      <c r="K78" s="141"/>
    </row>
    <row r="79" spans="1:16">
      <c r="A79" s="156" t="s">
        <v>142</v>
      </c>
      <c r="B79" t="s">
        <v>41</v>
      </c>
      <c r="C79" s="66" t="s">
        <v>101</v>
      </c>
      <c r="D79" s="79">
        <f>E79*(1+$T$1)</f>
        <v>1.6500000000000001</v>
      </c>
      <c r="E79" s="79">
        <f>AVERAGE(G79:Q79)</f>
        <v>1.1000000000000001</v>
      </c>
      <c r="F79" s="79" t="e">
        <f>STDEV(G79:Q79)</f>
        <v>#DIV/0!</v>
      </c>
      <c r="G79" s="140"/>
      <c r="H79" s="140"/>
      <c r="I79" s="157">
        <v>1.1000000000000001</v>
      </c>
      <c r="J79" s="140"/>
      <c r="K79" s="141"/>
    </row>
    <row r="80" spans="1:16">
      <c r="A80" s="156" t="s">
        <v>142</v>
      </c>
      <c r="B80" t="s">
        <v>49</v>
      </c>
      <c r="C80" t="s">
        <v>129</v>
      </c>
      <c r="D80" s="79">
        <f>E80*(1+$T$1)</f>
        <v>1.875</v>
      </c>
      <c r="E80" s="79">
        <f>AVERAGE(G80:Q80)</f>
        <v>1.25</v>
      </c>
      <c r="F80" s="79">
        <f>STDEV(G80:Q80)</f>
        <v>0.35355339059327379</v>
      </c>
      <c r="G80" s="79"/>
      <c r="H80" s="79"/>
      <c r="I80" s="157">
        <v>1</v>
      </c>
      <c r="J80" s="140"/>
      <c r="K80" s="141"/>
      <c r="O80" s="155">
        <v>1.5</v>
      </c>
    </row>
    <row r="81" spans="1:16">
      <c r="A81" s="156" t="s">
        <v>55</v>
      </c>
      <c r="B81" t="s">
        <v>26</v>
      </c>
      <c r="C81" t="s">
        <v>67</v>
      </c>
      <c r="D81" s="79">
        <f>E81*(1+$T$1)</f>
        <v>2.69</v>
      </c>
      <c r="E81" s="79">
        <f>AVERAGE(G81:Q81)</f>
        <v>1.7933333333333332</v>
      </c>
      <c r="F81" s="79">
        <f>STDEV(G81:Q81)</f>
        <v>0.35795716689756812</v>
      </c>
      <c r="G81" s="79"/>
      <c r="H81" s="79">
        <v>1.4</v>
      </c>
      <c r="I81" s="157"/>
      <c r="J81" s="140"/>
      <c r="K81" s="141"/>
      <c r="O81" s="155">
        <v>2.1</v>
      </c>
      <c r="P81" s="155">
        <v>1.88</v>
      </c>
    </row>
    <row r="82" spans="1:16">
      <c r="A82" s="156" t="s">
        <v>55</v>
      </c>
      <c r="B82" t="s">
        <v>33</v>
      </c>
      <c r="C82" t="s">
        <v>68</v>
      </c>
      <c r="D82" s="79">
        <f>E82*(1+$T$1)</f>
        <v>5.3849999999999998</v>
      </c>
      <c r="E82" s="79">
        <f>AVERAGE(G82:Q82)</f>
        <v>3.59</v>
      </c>
      <c r="F82" s="79">
        <f>STDEV(G82:Q82)</f>
        <v>0.57982756057297036</v>
      </c>
      <c r="G82" s="79"/>
      <c r="H82" s="79">
        <v>4</v>
      </c>
      <c r="I82" s="157"/>
      <c r="J82" s="140"/>
      <c r="K82" s="141"/>
      <c r="O82" s="155">
        <v>3.18</v>
      </c>
    </row>
    <row r="83" spans="1:16">
      <c r="A83" s="156" t="s">
        <v>55</v>
      </c>
      <c r="B83" t="s">
        <v>49</v>
      </c>
      <c r="C83" t="s">
        <v>68</v>
      </c>
      <c r="D83" s="79">
        <f>E83*(1+$T$1)</f>
        <v>5.3849999999999998</v>
      </c>
      <c r="E83" s="79">
        <f>AVERAGE(G83:Q83)</f>
        <v>3.59</v>
      </c>
      <c r="F83" s="79">
        <f>STDEV(G83:Q83)</f>
        <v>0.57982756057297036</v>
      </c>
      <c r="G83" s="79"/>
      <c r="H83" s="79">
        <v>4</v>
      </c>
      <c r="I83" s="157"/>
      <c r="J83" s="140"/>
      <c r="K83" s="141"/>
      <c r="O83" s="155">
        <v>3.18</v>
      </c>
    </row>
    <row r="84" spans="1:16">
      <c r="A84" s="156" t="s">
        <v>142</v>
      </c>
      <c r="B84" t="s">
        <v>26</v>
      </c>
      <c r="C84" t="s">
        <v>86</v>
      </c>
      <c r="D84" s="79">
        <f>E84*(1+$T$1)</f>
        <v>3.7232142857142856</v>
      </c>
      <c r="E84" s="79">
        <f>AVERAGE(G84:Q84)</f>
        <v>2.4821428571428572</v>
      </c>
      <c r="F84" s="79">
        <f>STDEV(G84:Q84)</f>
        <v>0.50347010125442637</v>
      </c>
      <c r="G84" s="79">
        <f>17.25/10</f>
        <v>1.7250000000000001</v>
      </c>
      <c r="H84" s="79">
        <v>2.7</v>
      </c>
      <c r="I84" s="157">
        <v>2.5</v>
      </c>
      <c r="J84" s="140">
        <v>2.6</v>
      </c>
      <c r="K84" s="141"/>
      <c r="L84" s="155">
        <v>2.8</v>
      </c>
      <c r="O84" s="155">
        <v>3.15</v>
      </c>
      <c r="P84" s="155">
        <v>1.9</v>
      </c>
    </row>
    <row r="85" spans="1:16">
      <c r="A85" s="156" t="s">
        <v>892</v>
      </c>
      <c r="B85" t="s">
        <v>26</v>
      </c>
      <c r="C85" t="s">
        <v>118</v>
      </c>
      <c r="D85" s="79">
        <f>E85*(1+$T$1)</f>
        <v>2.85</v>
      </c>
      <c r="E85" s="79">
        <f>AVERAGE(G85:Q85)</f>
        <v>1.9000000000000001</v>
      </c>
      <c r="F85" s="79">
        <f>STDEV(G85:Q85)</f>
        <v>0.34999999999999942</v>
      </c>
      <c r="G85" s="79">
        <v>1.55</v>
      </c>
      <c r="H85" s="79">
        <v>1.9</v>
      </c>
      <c r="I85" s="157"/>
      <c r="J85" s="140"/>
      <c r="K85" s="141"/>
      <c r="O85" s="155">
        <v>2.25</v>
      </c>
    </row>
    <row r="86" spans="1:16">
      <c r="A86" s="156" t="s">
        <v>142</v>
      </c>
      <c r="B86" t="s">
        <v>26</v>
      </c>
      <c r="C86" t="s">
        <v>87</v>
      </c>
      <c r="D86" s="79">
        <f>E86*(1+$T$1)</f>
        <v>2.4375</v>
      </c>
      <c r="E86" s="79">
        <f>AVERAGE(G86:Q86)</f>
        <v>1.625</v>
      </c>
      <c r="F86" s="79">
        <f>STDEV(G86:Q86)</f>
        <v>0.17677669529663689</v>
      </c>
      <c r="G86" s="79"/>
      <c r="H86" s="79"/>
      <c r="I86" s="157">
        <v>1.5</v>
      </c>
      <c r="J86" s="140"/>
      <c r="K86" s="141"/>
      <c r="O86" s="155">
        <v>1.75</v>
      </c>
    </row>
    <row r="87" spans="1:16">
      <c r="A87" s="156" t="s">
        <v>894</v>
      </c>
      <c r="B87" t="s">
        <v>49</v>
      </c>
      <c r="C87" t="s">
        <v>115</v>
      </c>
      <c r="D87" s="79">
        <f>E87*(1+$T$1)</f>
        <v>2.0625</v>
      </c>
      <c r="E87" s="79">
        <f>AVERAGE(G87:Q87)</f>
        <v>1.375</v>
      </c>
      <c r="F87" s="79">
        <f>STDEV(G87:Q87)</f>
        <v>0.17677669529663689</v>
      </c>
      <c r="G87" s="79">
        <v>1.25</v>
      </c>
      <c r="H87" s="79"/>
      <c r="I87" s="157"/>
      <c r="J87" s="140"/>
      <c r="K87" s="141"/>
      <c r="O87" s="155">
        <v>1.5</v>
      </c>
    </row>
    <row r="88" spans="1:16">
      <c r="A88" s="156" t="s">
        <v>142</v>
      </c>
      <c r="B88" t="s">
        <v>49</v>
      </c>
      <c r="C88" t="s">
        <v>130</v>
      </c>
      <c r="D88" s="79">
        <f>E88*(1+$T$1)</f>
        <v>1.6500000000000001</v>
      </c>
      <c r="E88" s="79">
        <f>AVERAGE(G88:Q88)</f>
        <v>1.1000000000000001</v>
      </c>
      <c r="F88" s="79" t="e">
        <f>STDEV(G88:Q88)</f>
        <v>#DIV/0!</v>
      </c>
      <c r="G88" s="140"/>
      <c r="H88" s="140"/>
      <c r="I88" s="157">
        <v>1.1000000000000001</v>
      </c>
      <c r="J88" s="140"/>
      <c r="K88" s="141"/>
    </row>
    <row r="89" spans="1:16">
      <c r="A89" s="156" t="s">
        <v>894</v>
      </c>
      <c r="B89" t="s">
        <v>51</v>
      </c>
      <c r="C89" t="s">
        <v>131</v>
      </c>
      <c r="D89" s="79">
        <f>E89*(1+$T$1)</f>
        <v>1.5</v>
      </c>
      <c r="E89" s="79">
        <f>AVERAGE(G89:Q89)</f>
        <v>1</v>
      </c>
      <c r="F89" s="79" t="e">
        <f>STDEV(G89:Q89)</f>
        <v>#DIV/0!</v>
      </c>
      <c r="G89" s="140"/>
      <c r="H89" s="140"/>
      <c r="I89" s="157">
        <v>1</v>
      </c>
      <c r="J89" s="140"/>
      <c r="K89" s="141"/>
    </row>
    <row r="90" spans="1:16">
      <c r="A90" s="156" t="s">
        <v>55</v>
      </c>
      <c r="B90" t="s">
        <v>33</v>
      </c>
      <c r="C90" t="s">
        <v>69</v>
      </c>
      <c r="D90" s="79">
        <f>E90*(1+$T$1)</f>
        <v>3.2749999999999995</v>
      </c>
      <c r="E90" s="79">
        <f>AVERAGE(G90:Q90)</f>
        <v>2.1833333333333331</v>
      </c>
      <c r="F90" s="79">
        <f>STDEV(G90:Q90)</f>
        <v>1.3604533558095018</v>
      </c>
      <c r="G90" s="79">
        <v>1.3</v>
      </c>
      <c r="H90" s="79"/>
      <c r="I90" s="157">
        <v>1.5</v>
      </c>
      <c r="J90" s="140"/>
      <c r="K90" s="141"/>
      <c r="O90" s="155">
        <v>3.75</v>
      </c>
    </row>
    <row r="91" spans="1:16">
      <c r="A91" s="156" t="s">
        <v>892</v>
      </c>
      <c r="B91" t="s">
        <v>49</v>
      </c>
      <c r="C91" t="s">
        <v>121</v>
      </c>
      <c r="D91" s="79">
        <f>E91*(1+$T$1)</f>
        <v>3.75</v>
      </c>
      <c r="E91" s="79">
        <f>AVERAGE(G91:Q91)</f>
        <v>2.5</v>
      </c>
      <c r="F91" s="79" t="e">
        <f>STDEV(G91:Q91)</f>
        <v>#DIV/0!</v>
      </c>
      <c r="G91" s="79"/>
      <c r="H91" s="79"/>
      <c r="I91" s="157">
        <v>2.5</v>
      </c>
      <c r="J91" s="140"/>
      <c r="K91" s="141"/>
    </row>
    <row r="92" spans="1:16">
      <c r="A92" s="156" t="s">
        <v>30</v>
      </c>
      <c r="B92" t="s">
        <v>51</v>
      </c>
      <c r="C92" t="s">
        <v>925</v>
      </c>
      <c r="D92" s="79" t="e">
        <f>E92*(1+$O$1)</f>
        <v>#VALUE!</v>
      </c>
      <c r="E92" s="79">
        <f>AVERAGE(G92:Q92)</f>
        <v>1.96</v>
      </c>
      <c r="F92" s="79" t="e">
        <f>STDEV(G92:Q92)</f>
        <v>#DIV/0!</v>
      </c>
      <c r="G92" s="79"/>
      <c r="H92" s="79"/>
      <c r="I92" s="157"/>
      <c r="J92" s="140"/>
      <c r="K92" s="141"/>
      <c r="O92" s="155">
        <v>1.96</v>
      </c>
    </row>
    <row r="93" spans="1:16">
      <c r="A93" s="156" t="s">
        <v>894</v>
      </c>
      <c r="B93" t="s">
        <v>51</v>
      </c>
      <c r="C93" t="s">
        <v>141</v>
      </c>
      <c r="D93" s="79">
        <f>E93*(1+$T$1)</f>
        <v>2.25</v>
      </c>
      <c r="E93" s="79">
        <f>AVERAGE(G93:Q93)</f>
        <v>1.5</v>
      </c>
      <c r="F93" s="79" t="e">
        <f>STDEV(G93:Q93)</f>
        <v>#DIV/0!</v>
      </c>
      <c r="G93" s="140"/>
      <c r="H93" s="140"/>
      <c r="I93" s="157">
        <v>1.5</v>
      </c>
      <c r="J93" s="140"/>
      <c r="K93" s="141"/>
    </row>
    <row r="94" spans="1:16">
      <c r="A94" s="156" t="s">
        <v>30</v>
      </c>
      <c r="B94" t="s">
        <v>41</v>
      </c>
      <c r="C94" t="s">
        <v>45</v>
      </c>
      <c r="D94" s="79">
        <f>E94*(1+$T$1)</f>
        <v>2.65</v>
      </c>
      <c r="E94" s="79">
        <f>AVERAGE(G94:Q94)</f>
        <v>1.7666666666666666</v>
      </c>
      <c r="F94" s="79">
        <f>STDEV(G94:Q94)</f>
        <v>0.2516611478423586</v>
      </c>
      <c r="G94" s="79"/>
      <c r="H94" s="79">
        <v>1.8</v>
      </c>
      <c r="I94" s="157"/>
      <c r="J94" s="140"/>
      <c r="K94" s="141"/>
      <c r="L94" s="155">
        <v>2</v>
      </c>
      <c r="O94" s="155">
        <v>1.5</v>
      </c>
    </row>
    <row r="95" spans="1:16">
      <c r="A95" s="156" t="s">
        <v>21</v>
      </c>
      <c r="B95" t="s">
        <v>26</v>
      </c>
      <c r="C95" t="s">
        <v>29</v>
      </c>
      <c r="D95" s="79">
        <f>E95*(1+$T$1)</f>
        <v>1.855</v>
      </c>
      <c r="E95" s="79">
        <f>AVERAGE(G95:Q95)</f>
        <v>1.2366666666666666</v>
      </c>
      <c r="F95" s="79">
        <f>STDEV(G95:Q95)</f>
        <v>0.42193996413392026</v>
      </c>
      <c r="G95" s="79">
        <v>1.1000000000000001</v>
      </c>
      <c r="H95" s="79">
        <v>0.9</v>
      </c>
      <c r="I95" s="157"/>
      <c r="J95" s="140"/>
      <c r="K95" s="141"/>
      <c r="O95" s="155">
        <v>1.71</v>
      </c>
    </row>
    <row r="96" spans="1:16">
      <c r="A96" s="156" t="s">
        <v>894</v>
      </c>
      <c r="B96" t="s">
        <v>49</v>
      </c>
      <c r="C96" t="s">
        <v>117</v>
      </c>
      <c r="D96" s="79">
        <f>E96*(1+$T$1)</f>
        <v>1.6124999999999998</v>
      </c>
      <c r="E96" s="79">
        <f>AVERAGE(G96:Q96)</f>
        <v>1.075</v>
      </c>
      <c r="F96" s="79">
        <f>STDEV(G96:Q96)</f>
        <v>0.24748737341529214</v>
      </c>
      <c r="G96" s="79">
        <v>1.25</v>
      </c>
      <c r="H96" s="79">
        <v>0.9</v>
      </c>
      <c r="I96" s="157"/>
      <c r="J96" s="140"/>
      <c r="K96" s="141"/>
    </row>
    <row r="97" spans="1:16">
      <c r="A97" s="156" t="s">
        <v>55</v>
      </c>
      <c r="B97" t="s">
        <v>22</v>
      </c>
      <c r="C97" t="s">
        <v>70</v>
      </c>
      <c r="D97" s="79">
        <f>E97*(1+$T$1)</f>
        <v>6.0187500000000007</v>
      </c>
      <c r="E97" s="79">
        <f>AVERAGE(G97:Q97)</f>
        <v>4.0125000000000002</v>
      </c>
      <c r="F97" s="79">
        <f>STDEV(G97:Q97)</f>
        <v>0.37052890125692844</v>
      </c>
      <c r="G97" s="79">
        <v>4</v>
      </c>
      <c r="H97" s="79">
        <v>3.95</v>
      </c>
      <c r="I97" s="157"/>
      <c r="J97" s="140"/>
      <c r="K97" s="141"/>
      <c r="L97" s="155">
        <v>4.5</v>
      </c>
      <c r="O97" s="155">
        <v>3.6</v>
      </c>
    </row>
    <row r="98" spans="1:16">
      <c r="A98" s="156" t="s">
        <v>55</v>
      </c>
      <c r="B98" t="s">
        <v>22</v>
      </c>
      <c r="C98" t="s">
        <v>71</v>
      </c>
      <c r="D98" s="79">
        <f>E98*(1+$T$1)</f>
        <v>6.3937500000000007</v>
      </c>
      <c r="E98" s="79">
        <f>AVERAGE(G98:Q98)</f>
        <v>4.2625000000000002</v>
      </c>
      <c r="F98" s="79">
        <f>STDEV(G98:Q98)</f>
        <v>0.58789880081524093</v>
      </c>
      <c r="G98" s="79">
        <v>4</v>
      </c>
      <c r="H98" s="79">
        <v>4.95</v>
      </c>
      <c r="I98" s="157"/>
      <c r="J98" s="140"/>
      <c r="K98" s="141"/>
      <c r="L98" s="155">
        <v>4.5</v>
      </c>
      <c r="O98" s="155">
        <v>3.6</v>
      </c>
    </row>
    <row r="99" spans="1:16">
      <c r="A99" s="156" t="s">
        <v>55</v>
      </c>
      <c r="B99" t="s">
        <v>22</v>
      </c>
      <c r="C99" t="s">
        <v>72</v>
      </c>
      <c r="D99" s="79">
        <f>E99*(1+$T$1)</f>
        <v>5.9287499999999991</v>
      </c>
      <c r="E99" s="79">
        <f>AVERAGE(G99:Q99)</f>
        <v>3.9524999999999997</v>
      </c>
      <c r="F99" s="79">
        <f>STDEV(G99:Q99)</f>
        <v>0.46657439563982656</v>
      </c>
      <c r="G99" s="79">
        <v>4</v>
      </c>
      <c r="H99" s="79">
        <v>3.95</v>
      </c>
      <c r="I99" s="157"/>
      <c r="J99" s="140"/>
      <c r="K99" s="141"/>
      <c r="L99" s="155">
        <v>4.5</v>
      </c>
      <c r="O99" s="155">
        <v>3.36</v>
      </c>
    </row>
    <row r="100" spans="1:16">
      <c r="A100" s="156" t="s">
        <v>55</v>
      </c>
      <c r="B100" t="s">
        <v>22</v>
      </c>
      <c r="C100" t="s">
        <v>73</v>
      </c>
      <c r="D100" s="79">
        <f>E100*(1+$T$1)</f>
        <v>5.4224999999999994</v>
      </c>
      <c r="E100" s="79">
        <f>AVERAGE(G100:Q100)</f>
        <v>3.6149999999999998</v>
      </c>
      <c r="F100" s="79">
        <f>STDEV(G100:Q100)</f>
        <v>0.63945289114992876</v>
      </c>
      <c r="G100" s="79">
        <v>3</v>
      </c>
      <c r="H100" s="79">
        <v>3.6</v>
      </c>
      <c r="I100" s="157"/>
      <c r="J100" s="140"/>
      <c r="K100" s="141"/>
      <c r="L100" s="155">
        <v>4.5</v>
      </c>
      <c r="O100" s="155">
        <v>3.36</v>
      </c>
    </row>
    <row r="101" spans="1:16">
      <c r="A101" s="156" t="s">
        <v>55</v>
      </c>
      <c r="B101" t="s">
        <v>22</v>
      </c>
      <c r="C101" t="s">
        <v>74</v>
      </c>
      <c r="D101" s="79">
        <f>E101*(1+$T$1)</f>
        <v>5.4412500000000001</v>
      </c>
      <c r="E101" s="79">
        <f>AVERAGE(G101:Q101)</f>
        <v>3.6274999999999999</v>
      </c>
      <c r="F101" s="79">
        <f>STDEV(G101:Q101)</f>
        <v>0.63955062348495895</v>
      </c>
      <c r="G101" s="79">
        <v>3</v>
      </c>
      <c r="H101" s="79">
        <v>3.65</v>
      </c>
      <c r="I101" s="157"/>
      <c r="J101" s="140"/>
      <c r="K101" s="141"/>
      <c r="L101" s="155">
        <v>4.5</v>
      </c>
      <c r="O101" s="155">
        <v>3.36</v>
      </c>
    </row>
    <row r="102" spans="1:16">
      <c r="A102" s="156" t="s">
        <v>21</v>
      </c>
      <c r="B102" t="s">
        <v>33</v>
      </c>
      <c r="C102" t="s">
        <v>36</v>
      </c>
      <c r="D102" s="79">
        <f>E102*(1+$T$1)</f>
        <v>1.875</v>
      </c>
      <c r="E102" s="79">
        <f>AVERAGE(G102:Q102)</f>
        <v>1.25</v>
      </c>
      <c r="F102" s="79" t="e">
        <f>STDEV(G102:Q102)</f>
        <v>#DIV/0!</v>
      </c>
      <c r="G102" s="140"/>
      <c r="H102" s="140"/>
      <c r="I102" s="157">
        <v>1.25</v>
      </c>
      <c r="J102" s="140"/>
      <c r="K102" s="141"/>
    </row>
    <row r="103" spans="1:16">
      <c r="A103" s="156" t="s">
        <v>892</v>
      </c>
      <c r="B103" t="s">
        <v>33</v>
      </c>
      <c r="C103" t="s">
        <v>913</v>
      </c>
      <c r="D103" s="79" t="e">
        <f>E103*(1+$O$1)</f>
        <v>#VALUE!</v>
      </c>
      <c r="E103" s="79">
        <f>AVERAGE(G103:Q103)</f>
        <v>1.65</v>
      </c>
      <c r="F103" s="79">
        <f>STDEV(G103:Q103)</f>
        <v>0.21213203435596428</v>
      </c>
      <c r="G103" s="140"/>
      <c r="H103" s="140"/>
      <c r="I103" s="157"/>
      <c r="J103" s="140"/>
      <c r="K103" s="141"/>
      <c r="N103" s="155">
        <v>1.5</v>
      </c>
      <c r="O103" s="155">
        <v>1.8</v>
      </c>
    </row>
    <row r="104" spans="1:16">
      <c r="A104" s="156" t="s">
        <v>30</v>
      </c>
      <c r="B104" t="s">
        <v>41</v>
      </c>
      <c r="C104" t="s">
        <v>942</v>
      </c>
      <c r="D104" s="79">
        <f t="shared" ref="D104:D105" si="0">E104*(1+$T$1)</f>
        <v>2.0999999999999996</v>
      </c>
      <c r="E104" s="79">
        <f t="shared" ref="E104:E105" si="1">AVERAGE(G104:Q104)</f>
        <v>1.4</v>
      </c>
      <c r="F104" s="79" t="e">
        <f t="shared" ref="F104:F105" si="2">STDEV(G104:Q104)</f>
        <v>#DIV/0!</v>
      </c>
      <c r="G104" s="79"/>
      <c r="H104" s="79"/>
      <c r="I104" s="157">
        <v>1.4</v>
      </c>
      <c r="J104" s="140"/>
      <c r="K104" s="141"/>
    </row>
    <row r="105" spans="1:16">
      <c r="A105" s="156" t="s">
        <v>30</v>
      </c>
      <c r="B105" t="s">
        <v>26</v>
      </c>
      <c r="C105" t="s">
        <v>943</v>
      </c>
      <c r="D105" s="79">
        <f t="shared" si="0"/>
        <v>2.8125</v>
      </c>
      <c r="E105" s="79">
        <f t="shared" si="1"/>
        <v>1.875</v>
      </c>
      <c r="F105" s="79">
        <f t="shared" si="2"/>
        <v>0.5303300858899106</v>
      </c>
      <c r="G105" s="79"/>
      <c r="H105" s="79"/>
      <c r="I105" s="157">
        <v>1.5</v>
      </c>
      <c r="J105" s="140"/>
      <c r="K105" s="141"/>
      <c r="O105" s="155">
        <v>2.25</v>
      </c>
    </row>
    <row r="106" spans="1:16">
      <c r="A106" s="156" t="s">
        <v>30</v>
      </c>
      <c r="B106" t="s">
        <v>22</v>
      </c>
      <c r="C106" t="s">
        <v>944</v>
      </c>
      <c r="D106" s="79">
        <f>E106*(1+$T$1)</f>
        <v>2.8875000000000002</v>
      </c>
      <c r="E106" s="79">
        <f>AVERAGE(G106:Q106)</f>
        <v>1.925</v>
      </c>
      <c r="F106" s="79">
        <f>STDEV(G106:Q106)</f>
        <v>0.45961940777125559</v>
      </c>
      <c r="G106" s="79"/>
      <c r="H106" s="79"/>
      <c r="I106" s="157">
        <v>1.6</v>
      </c>
      <c r="J106" s="140"/>
      <c r="K106" s="141"/>
      <c r="O106" s="155">
        <v>2.25</v>
      </c>
    </row>
    <row r="107" spans="1:16">
      <c r="A107" s="156" t="s">
        <v>21</v>
      </c>
      <c r="B107" t="s">
        <v>51</v>
      </c>
      <c r="C107" t="s">
        <v>52</v>
      </c>
      <c r="D107" s="79">
        <f>E107*(1+$T$1)</f>
        <v>2.2874999999999996</v>
      </c>
      <c r="E107" s="79">
        <f>AVERAGE(G107:Q107)</f>
        <v>1.5249999999999999</v>
      </c>
      <c r="F107" s="79">
        <f>STDEV(G107:Q107)</f>
        <v>0.60104076400856621</v>
      </c>
      <c r="G107" s="79"/>
      <c r="H107" s="79"/>
      <c r="I107" s="157">
        <v>1.1000000000000001</v>
      </c>
      <c r="J107" s="140"/>
      <c r="K107" s="141"/>
      <c r="O107" s="155">
        <v>1.95</v>
      </c>
    </row>
    <row r="108" spans="1:16">
      <c r="A108" s="156" t="s">
        <v>892</v>
      </c>
      <c r="B108" t="s">
        <v>26</v>
      </c>
      <c r="C108" t="s">
        <v>80</v>
      </c>
      <c r="D108" s="79">
        <f>E108*(1+$T$1)</f>
        <v>2.1975000000000002</v>
      </c>
      <c r="E108" s="79">
        <f>AVERAGE(G108:Q108)</f>
        <v>1.4650000000000001</v>
      </c>
      <c r="F108" s="79">
        <f>STDEV(G108:Q108)</f>
        <v>0.29137604568666914</v>
      </c>
      <c r="G108" s="79">
        <v>1.3</v>
      </c>
      <c r="H108" s="79">
        <v>1.2</v>
      </c>
      <c r="I108" s="157"/>
      <c r="J108" s="140"/>
      <c r="K108" s="141"/>
      <c r="N108" s="155">
        <v>1.5</v>
      </c>
      <c r="P108" s="155">
        <v>1.86</v>
      </c>
    </row>
    <row r="109" spans="1:16">
      <c r="A109" s="156" t="s">
        <v>892</v>
      </c>
      <c r="B109" t="s">
        <v>33</v>
      </c>
      <c r="C109" t="s">
        <v>80</v>
      </c>
      <c r="D109" s="79">
        <f>E109*(1+$T$1)</f>
        <v>2.1975000000000002</v>
      </c>
      <c r="E109" s="79">
        <f>AVERAGE(G109:Q109)</f>
        <v>1.4650000000000001</v>
      </c>
      <c r="F109" s="79">
        <f>STDEV(G109:Q109)</f>
        <v>0.29137604568666914</v>
      </c>
      <c r="G109" s="79">
        <v>1.3</v>
      </c>
      <c r="H109" s="79">
        <v>1.2</v>
      </c>
      <c r="I109" s="157"/>
      <c r="J109" s="140"/>
      <c r="K109" s="141"/>
      <c r="N109" s="155">
        <v>1.5</v>
      </c>
      <c r="P109" s="155">
        <v>1.86</v>
      </c>
    </row>
    <row r="110" spans="1:16">
      <c r="A110" s="156" t="s">
        <v>892</v>
      </c>
      <c r="B110" t="s">
        <v>41</v>
      </c>
      <c r="C110" t="s">
        <v>112</v>
      </c>
      <c r="D110" s="79">
        <f>E110*(1+$T$1)</f>
        <v>1.75</v>
      </c>
      <c r="E110" s="79">
        <f>AVERAGE(G110:Q110)</f>
        <v>1.1666666666666667</v>
      </c>
      <c r="F110" s="79">
        <f>STDEV(G110:Q110)</f>
        <v>0.15275252316519497</v>
      </c>
      <c r="G110" s="79">
        <v>1.3</v>
      </c>
      <c r="H110" s="79">
        <v>1.2</v>
      </c>
      <c r="I110" s="157">
        <v>1</v>
      </c>
      <c r="J110" s="140"/>
      <c r="K110" s="141"/>
    </row>
    <row r="111" spans="1:16">
      <c r="A111" s="156" t="s">
        <v>30</v>
      </c>
      <c r="B111" t="s">
        <v>22</v>
      </c>
      <c r="C111" t="s">
        <v>915</v>
      </c>
      <c r="D111" s="79" t="e">
        <f>E111*(1+$O$1)</f>
        <v>#VALUE!</v>
      </c>
      <c r="E111" s="79">
        <f>AVERAGE(G111:Q111)</f>
        <v>3.0333333333333332</v>
      </c>
      <c r="F111" s="79">
        <f>STDEV(G111:Q111)</f>
        <v>0.83864970836061026</v>
      </c>
      <c r="G111" s="79"/>
      <c r="H111" s="79">
        <v>4</v>
      </c>
      <c r="I111" s="157"/>
      <c r="J111" s="140">
        <v>2.6</v>
      </c>
      <c r="K111" s="141"/>
      <c r="O111" s="155">
        <v>2.5</v>
      </c>
    </row>
    <row r="112" spans="1:16">
      <c r="A112" s="156" t="s">
        <v>30</v>
      </c>
      <c r="B112" t="s">
        <v>26</v>
      </c>
      <c r="C112" t="s">
        <v>914</v>
      </c>
      <c r="D112" s="79">
        <f>E112*(1+$T$1)</f>
        <v>3.6574999999999998</v>
      </c>
      <c r="E112" s="79">
        <f>AVERAGE(G112:Q112)</f>
        <v>2.438333333333333</v>
      </c>
      <c r="F112" s="79">
        <f>STDEV(G112:Q112)</f>
        <v>0.46023544699063185</v>
      </c>
      <c r="G112" s="79"/>
      <c r="H112" s="79">
        <v>1.9</v>
      </c>
      <c r="I112" s="157"/>
      <c r="J112" s="140">
        <v>2.4</v>
      </c>
      <c r="K112" s="141"/>
      <c r="L112" s="155">
        <v>2.8</v>
      </c>
      <c r="N112" s="155">
        <v>3.15</v>
      </c>
      <c r="O112" s="155">
        <v>2.25</v>
      </c>
      <c r="P112" s="155">
        <v>2.13</v>
      </c>
    </row>
    <row r="113" spans="1:16">
      <c r="A113" s="156" t="s">
        <v>892</v>
      </c>
      <c r="B113" t="s">
        <v>51</v>
      </c>
      <c r="C113" t="s">
        <v>945</v>
      </c>
      <c r="D113" s="79">
        <f>E113*(1+$T$1)</f>
        <v>2.8125</v>
      </c>
      <c r="E113" s="79">
        <f>AVERAGE(G113:Q113)</f>
        <v>1.875</v>
      </c>
      <c r="F113" s="79">
        <f>STDEV(G113:Q113)</f>
        <v>0.5303300858899106</v>
      </c>
      <c r="G113" s="79">
        <f>22.5/10</f>
        <v>2.25</v>
      </c>
      <c r="H113" s="79"/>
      <c r="I113" s="157">
        <v>1.5</v>
      </c>
      <c r="J113" s="140"/>
      <c r="K113" s="141"/>
    </row>
    <row r="114" spans="1:16">
      <c r="A114" s="156" t="s">
        <v>892</v>
      </c>
      <c r="B114" t="s">
        <v>26</v>
      </c>
      <c r="C114" t="s">
        <v>77</v>
      </c>
      <c r="D114" s="79">
        <f>E114*(1+$T$1)</f>
        <v>2.1</v>
      </c>
      <c r="E114" s="79">
        <f>AVERAGE(G114:Q114)</f>
        <v>1.4000000000000001</v>
      </c>
      <c r="F114" s="79">
        <f>STDEV(G114:Q114)</f>
        <v>0.40000000000000019</v>
      </c>
      <c r="G114" s="79">
        <v>1.4</v>
      </c>
      <c r="H114" s="79"/>
      <c r="I114" s="157">
        <v>1</v>
      </c>
      <c r="J114" s="140"/>
      <c r="K114" s="141"/>
      <c r="O114" s="155">
        <v>1.8</v>
      </c>
    </row>
    <row r="115" spans="1:16">
      <c r="A115" s="156" t="s">
        <v>142</v>
      </c>
      <c r="B115" t="s">
        <v>41</v>
      </c>
      <c r="C115" t="s">
        <v>111</v>
      </c>
      <c r="D115" s="79">
        <f>E115*(1+$T$1)</f>
        <v>1.875</v>
      </c>
      <c r="E115" s="79">
        <f>AVERAGE(G115:Q115)</f>
        <v>1.25</v>
      </c>
      <c r="F115" s="79" t="e">
        <f>STDEV(G115:Q115)</f>
        <v>#DIV/0!</v>
      </c>
      <c r="G115" s="79"/>
      <c r="H115" s="79"/>
      <c r="I115" s="157">
        <v>1.25</v>
      </c>
      <c r="J115" s="140"/>
      <c r="K115" s="141"/>
    </row>
    <row r="116" spans="1:16">
      <c r="A116" s="156" t="s">
        <v>30</v>
      </c>
      <c r="B116" t="s">
        <v>33</v>
      </c>
      <c r="C116" t="s">
        <v>39</v>
      </c>
      <c r="D116" s="79">
        <f>E116*(1+$T$1)</f>
        <v>2.25</v>
      </c>
      <c r="E116" s="79">
        <f>AVERAGE(G116:Q116)</f>
        <v>1.5</v>
      </c>
      <c r="F116" s="79" t="e">
        <f>STDEV(G116:Q116)</f>
        <v>#DIV/0!</v>
      </c>
      <c r="G116" s="79"/>
      <c r="H116" s="79"/>
      <c r="I116" s="157">
        <v>1.5</v>
      </c>
      <c r="J116" s="140"/>
      <c r="K116" s="141"/>
    </row>
    <row r="117" spans="1:16">
      <c r="A117" s="156" t="s">
        <v>892</v>
      </c>
      <c r="B117" t="s">
        <v>41</v>
      </c>
      <c r="C117" t="s">
        <v>104</v>
      </c>
      <c r="D117" s="79">
        <f>E117*(1+$T$1)</f>
        <v>2.25</v>
      </c>
      <c r="E117" s="79">
        <f>AVERAGE(G117:Q117)</f>
        <v>1.5</v>
      </c>
      <c r="F117" s="79">
        <f>STDEV(G117:Q117)</f>
        <v>0.17320508075688776</v>
      </c>
      <c r="G117" s="79">
        <v>1.4</v>
      </c>
      <c r="H117" s="79">
        <v>1.7</v>
      </c>
      <c r="I117" s="157"/>
      <c r="J117" s="140"/>
      <c r="K117" s="141"/>
      <c r="L117" s="155">
        <v>1.4</v>
      </c>
    </row>
    <row r="118" spans="1:16">
      <c r="A118" s="156" t="s">
        <v>892</v>
      </c>
      <c r="B118" t="s">
        <v>26</v>
      </c>
      <c r="C118" t="s">
        <v>78</v>
      </c>
      <c r="D118" s="79">
        <f>E118*(1+$T$1)</f>
        <v>2.0999999999999996</v>
      </c>
      <c r="E118" s="79">
        <f>AVERAGE(G118:Q118)</f>
        <v>1.4</v>
      </c>
      <c r="F118" s="79" t="e">
        <f>STDEV(G118:Q118)</f>
        <v>#DIV/0!</v>
      </c>
      <c r="G118" s="79"/>
      <c r="H118" s="79"/>
      <c r="I118" s="157">
        <v>1.4</v>
      </c>
      <c r="J118" s="140"/>
      <c r="K118" s="141"/>
    </row>
    <row r="119" spans="1:16">
      <c r="A119" s="156" t="s">
        <v>892</v>
      </c>
      <c r="B119" t="s">
        <v>26</v>
      </c>
      <c r="C119" t="s">
        <v>93</v>
      </c>
      <c r="D119" s="79">
        <f>E119*(1+$T$1)</f>
        <v>2.2949999999999999</v>
      </c>
      <c r="E119" s="79">
        <f>AVERAGE(G119:Q119)</f>
        <v>1.53</v>
      </c>
      <c r="F119" s="79">
        <f>STDEV(G119:Q119)</f>
        <v>4.2426406871192889E-2</v>
      </c>
      <c r="G119" s="140"/>
      <c r="H119" s="140"/>
      <c r="I119" s="157">
        <v>1.5</v>
      </c>
      <c r="J119" s="140"/>
      <c r="K119" s="141"/>
      <c r="N119" s="155">
        <v>1.56</v>
      </c>
    </row>
    <row r="120" spans="1:16">
      <c r="A120" s="156" t="s">
        <v>142</v>
      </c>
      <c r="B120" t="s">
        <v>33</v>
      </c>
      <c r="C120" t="s">
        <v>651</v>
      </c>
      <c r="D120" s="79" t="e">
        <f>E120*(1+$O$1)</f>
        <v>#VALUE!</v>
      </c>
      <c r="E120" s="79">
        <f>AVERAGE(G120:Q120)</f>
        <v>2.1</v>
      </c>
      <c r="F120" s="79" t="e">
        <f>STDEV(G120:Q120)</f>
        <v>#DIV/0!</v>
      </c>
      <c r="G120" s="140"/>
      <c r="H120" s="140"/>
      <c r="I120" s="157"/>
      <c r="J120" s="140"/>
      <c r="K120" s="141"/>
      <c r="O120" s="155">
        <v>2.1</v>
      </c>
    </row>
    <row r="121" spans="1:16">
      <c r="A121" s="156" t="s">
        <v>142</v>
      </c>
      <c r="B121" t="s">
        <v>41</v>
      </c>
      <c r="C121" t="s">
        <v>109</v>
      </c>
      <c r="D121" s="79">
        <f>E121*(1+$T$1)</f>
        <v>1.6500000000000001</v>
      </c>
      <c r="E121" s="79">
        <f>AVERAGE(G121:Q121)</f>
        <v>1.1000000000000001</v>
      </c>
      <c r="F121" s="79">
        <f>STDEV(G121:Q121)</f>
        <v>0</v>
      </c>
      <c r="G121" s="79">
        <v>1.1000000000000001</v>
      </c>
      <c r="H121" s="79">
        <v>1.1000000000000001</v>
      </c>
      <c r="I121" s="157"/>
      <c r="J121" s="140"/>
      <c r="K121" s="141"/>
    </row>
    <row r="122" spans="1:16">
      <c r="A122" s="156" t="s">
        <v>142</v>
      </c>
      <c r="B122" t="s">
        <v>51</v>
      </c>
      <c r="C122" t="s">
        <v>139</v>
      </c>
      <c r="D122" s="79">
        <f>E122*(1+$T$1)</f>
        <v>2.625</v>
      </c>
      <c r="E122" s="79">
        <f>AVERAGE(G122:Q122)</f>
        <v>1.75</v>
      </c>
      <c r="F122" s="79" t="e">
        <f>STDEV(G122:Q122)</f>
        <v>#DIV/0!</v>
      </c>
      <c r="G122" s="79"/>
      <c r="H122" s="79"/>
      <c r="I122" s="157">
        <v>1.75</v>
      </c>
      <c r="J122" s="140"/>
      <c r="K122" s="141"/>
    </row>
    <row r="123" spans="1:16">
      <c r="A123" s="156" t="s">
        <v>893</v>
      </c>
      <c r="B123" t="s">
        <v>33</v>
      </c>
      <c r="C123" s="66" t="s">
        <v>94</v>
      </c>
      <c r="D123" s="79">
        <f>E123*(1+$T$1)</f>
        <v>2.25</v>
      </c>
      <c r="E123" s="79">
        <f>AVERAGE(G123:Q123)</f>
        <v>1.5</v>
      </c>
      <c r="F123" s="79" t="e">
        <f>STDEV(G123:Q123)</f>
        <v>#DIV/0!</v>
      </c>
      <c r="G123" s="140"/>
      <c r="H123" s="140"/>
      <c r="I123" s="157">
        <v>1.5</v>
      </c>
      <c r="J123" s="140"/>
      <c r="K123" s="141"/>
    </row>
    <row r="124" spans="1:16">
      <c r="A124" s="156" t="s">
        <v>892</v>
      </c>
      <c r="B124" t="s">
        <v>26</v>
      </c>
      <c r="C124" t="s">
        <v>311</v>
      </c>
      <c r="D124" s="79">
        <f>E124*(1+$T$1)</f>
        <v>2.4937500000000004</v>
      </c>
      <c r="E124" s="79">
        <f>AVERAGE(G124:Q124)</f>
        <v>1.6625000000000001</v>
      </c>
      <c r="F124" s="79">
        <f>STDEV(G124:Q124)</f>
        <v>0.28686524130097363</v>
      </c>
      <c r="G124" s="79"/>
      <c r="H124" s="79">
        <v>2</v>
      </c>
      <c r="I124" s="157"/>
      <c r="J124" s="140"/>
      <c r="K124" s="141"/>
      <c r="L124" s="155">
        <v>1.4</v>
      </c>
      <c r="O124" s="155">
        <v>1.8</v>
      </c>
      <c r="P124" s="155">
        <v>1.45</v>
      </c>
    </row>
    <row r="125" spans="1:16">
      <c r="A125" s="156" t="s">
        <v>21</v>
      </c>
      <c r="B125" t="s">
        <v>33</v>
      </c>
      <c r="C125" t="s">
        <v>937</v>
      </c>
      <c r="D125" s="79" t="e">
        <f>E125*(1+$O$1)</f>
        <v>#VALUE!</v>
      </c>
      <c r="E125" s="79">
        <f>AVERAGE(G125:Q125)</f>
        <v>2</v>
      </c>
      <c r="F125" s="79" t="e">
        <f>STDEV(G125:Q125)</f>
        <v>#DIV/0!</v>
      </c>
      <c r="G125" s="79"/>
      <c r="H125" s="79"/>
      <c r="I125" s="157">
        <v>2</v>
      </c>
      <c r="J125" s="140"/>
      <c r="K125" s="141"/>
    </row>
    <row r="126" spans="1:16">
      <c r="A126" s="156" t="s">
        <v>892</v>
      </c>
      <c r="B126" t="s">
        <v>51</v>
      </c>
      <c r="C126" t="s">
        <v>938</v>
      </c>
      <c r="D126" s="79">
        <f>E126*(1+$T$1)</f>
        <v>2.25</v>
      </c>
      <c r="E126" s="79">
        <f>AVERAGE(G126:Q126)</f>
        <v>1.5</v>
      </c>
      <c r="F126" s="79" t="e">
        <f>STDEV(G126:Q126)</f>
        <v>#DIV/0!</v>
      </c>
      <c r="G126" s="79">
        <v>1.5</v>
      </c>
      <c r="H126" s="79"/>
      <c r="I126" s="157"/>
      <c r="J126" s="140"/>
      <c r="K126" s="141"/>
    </row>
    <row r="127" spans="1:16">
      <c r="A127" s="156" t="s">
        <v>892</v>
      </c>
      <c r="B127" t="s">
        <v>51</v>
      </c>
      <c r="C127" t="s">
        <v>134</v>
      </c>
      <c r="D127" s="79">
        <f>E127*(1+$T$1)</f>
        <v>1.6500000000000001</v>
      </c>
      <c r="E127" s="79">
        <f>AVERAGE(G127:Q127)</f>
        <v>1.1000000000000001</v>
      </c>
      <c r="F127" s="79" t="e">
        <f>STDEV(G127:Q127)</f>
        <v>#DIV/0!</v>
      </c>
      <c r="G127" s="79"/>
      <c r="H127" s="79">
        <v>1.1000000000000001</v>
      </c>
      <c r="I127" s="157"/>
      <c r="J127" s="140"/>
      <c r="K127" s="141"/>
    </row>
    <row r="128" spans="1:16">
      <c r="A128" s="156" t="s">
        <v>142</v>
      </c>
      <c r="B128" t="s">
        <v>49</v>
      </c>
      <c r="C128" t="s">
        <v>918</v>
      </c>
      <c r="D128" s="79" t="e">
        <f>E128*(1+$O$1)</f>
        <v>#VALUE!</v>
      </c>
      <c r="E128" s="79">
        <f>AVERAGE(G128:Q128)</f>
        <v>1.5</v>
      </c>
      <c r="F128" s="79" t="e">
        <f>STDEV(G128:Q128)</f>
        <v>#DIV/0!</v>
      </c>
      <c r="G128" s="79"/>
      <c r="H128" s="79"/>
      <c r="I128" s="157"/>
      <c r="J128" s="140"/>
      <c r="K128" s="141"/>
      <c r="O128" s="155">
        <v>1.5</v>
      </c>
    </row>
    <row r="129" spans="1:16">
      <c r="A129" s="156" t="s">
        <v>142</v>
      </c>
      <c r="B129" t="s">
        <v>26</v>
      </c>
      <c r="C129" t="s">
        <v>919</v>
      </c>
      <c r="D129" s="79" t="e">
        <f>E129*(1+$O$1)</f>
        <v>#VALUE!</v>
      </c>
      <c r="E129" s="79">
        <f>AVERAGE(G129:Q129)</f>
        <v>1.2333333333333334</v>
      </c>
      <c r="F129" s="79">
        <f>STDEV(G129:Q129)</f>
        <v>0.25166114784235771</v>
      </c>
      <c r="G129" s="79"/>
      <c r="H129" s="79"/>
      <c r="I129" s="157"/>
      <c r="J129" s="140">
        <v>1</v>
      </c>
      <c r="K129" s="141"/>
      <c r="N129" s="155">
        <v>1.2</v>
      </c>
      <c r="O129" s="155">
        <v>1.5</v>
      </c>
    </row>
    <row r="130" spans="1:16">
      <c r="A130" s="156" t="s">
        <v>55</v>
      </c>
      <c r="B130" t="s">
        <v>49</v>
      </c>
      <c r="C130" t="s">
        <v>946</v>
      </c>
      <c r="D130" s="79">
        <f>E130*(1+$T$1)</f>
        <v>1.5750000000000002</v>
      </c>
      <c r="E130" s="79">
        <f>AVERAGE(G130:Q130)</f>
        <v>1.05</v>
      </c>
      <c r="F130" s="79">
        <f>STDEV(G130:Q130)</f>
        <v>7.0710678118654821E-2</v>
      </c>
      <c r="G130" s="79">
        <v>1.1000000000000001</v>
      </c>
      <c r="H130" s="79">
        <v>1</v>
      </c>
      <c r="I130" s="157"/>
      <c r="J130" s="140"/>
      <c r="K130" s="141"/>
    </row>
    <row r="131" spans="1:16">
      <c r="A131" s="156" t="s">
        <v>892</v>
      </c>
      <c r="B131" t="s">
        <v>33</v>
      </c>
      <c r="C131" t="s">
        <v>920</v>
      </c>
      <c r="D131" s="79" t="e">
        <f>E131*(1+$O$1)</f>
        <v>#VALUE!</v>
      </c>
      <c r="E131" s="79">
        <f>AVERAGE(G131:Q131)</f>
        <v>1.5</v>
      </c>
      <c r="F131" s="79" t="e">
        <f>STDEV(G131:Q131)</f>
        <v>#DIV/0!</v>
      </c>
      <c r="G131" s="79"/>
      <c r="H131" s="79"/>
      <c r="I131" s="157"/>
      <c r="J131" s="140"/>
      <c r="K131" s="141"/>
      <c r="O131" s="155">
        <v>1.5</v>
      </c>
    </row>
    <row r="132" spans="1:16">
      <c r="A132" s="156" t="s">
        <v>892</v>
      </c>
      <c r="B132" t="s">
        <v>33</v>
      </c>
      <c r="C132" t="s">
        <v>97</v>
      </c>
      <c r="D132" s="79">
        <f>E132*(1+$T$1)</f>
        <v>1.6949999999999998</v>
      </c>
      <c r="E132" s="79">
        <f>AVERAGE(G132:Q132)</f>
        <v>1.1299999999999999</v>
      </c>
      <c r="F132" s="79">
        <f>STDEV(G132:Q132)</f>
        <v>0.30331501776206288</v>
      </c>
      <c r="G132" s="79">
        <v>1.3</v>
      </c>
      <c r="H132" s="79">
        <v>1</v>
      </c>
      <c r="I132" s="157"/>
      <c r="J132" s="140"/>
      <c r="K132" s="141"/>
      <c r="N132" s="155">
        <v>1.1499999999999999</v>
      </c>
      <c r="O132" s="155">
        <v>1.5</v>
      </c>
      <c r="P132" s="155">
        <v>0.7</v>
      </c>
    </row>
    <row r="133" spans="1:16">
      <c r="A133" s="156" t="s">
        <v>30</v>
      </c>
      <c r="B133" t="s">
        <v>33</v>
      </c>
      <c r="C133" t="s">
        <v>40</v>
      </c>
      <c r="D133" s="79">
        <f>E133*(1+$T$1)</f>
        <v>2.3525</v>
      </c>
      <c r="E133" s="79">
        <f>AVERAGE(G133:Q133)</f>
        <v>1.5683333333333334</v>
      </c>
      <c r="F133" s="79">
        <f>STDEV(G133:Q133)</f>
        <v>0.27462095088806732</v>
      </c>
      <c r="G133" s="79">
        <v>1.4</v>
      </c>
      <c r="H133" s="79">
        <v>1.3</v>
      </c>
      <c r="I133" s="157">
        <v>1.75</v>
      </c>
      <c r="J133" s="140"/>
      <c r="K133" s="141"/>
      <c r="N133" s="155">
        <v>1.35</v>
      </c>
      <c r="O133" s="155">
        <v>2.0099999999999998</v>
      </c>
      <c r="P133" s="155">
        <v>1.6</v>
      </c>
    </row>
    <row r="134" spans="1:16">
      <c r="A134" s="156" t="s">
        <v>142</v>
      </c>
      <c r="B134" t="s">
        <v>26</v>
      </c>
      <c r="C134" t="s">
        <v>88</v>
      </c>
      <c r="D134" s="79">
        <f>E134*(1+$T$1)</f>
        <v>2.3774999999999999</v>
      </c>
      <c r="E134" s="79">
        <f>AVERAGE(G134:Q134)</f>
        <v>1.585</v>
      </c>
      <c r="F134" s="79">
        <f>STDEV(G134:Q134)</f>
        <v>0.26162950903902327</v>
      </c>
      <c r="G134" s="79">
        <v>1.4</v>
      </c>
      <c r="H134" s="79"/>
      <c r="I134" s="157"/>
      <c r="J134" s="140"/>
      <c r="K134" s="141"/>
      <c r="O134" s="155">
        <v>1.77</v>
      </c>
    </row>
    <row r="135" spans="1:16">
      <c r="A135" s="156" t="s">
        <v>142</v>
      </c>
      <c r="B135" t="s">
        <v>41</v>
      </c>
      <c r="C135" t="s">
        <v>655</v>
      </c>
      <c r="D135" s="79" t="e">
        <f>E135*(1+$O$1)</f>
        <v>#VALUE!</v>
      </c>
      <c r="E135" s="79">
        <f>AVERAGE(G135:Q135)</f>
        <v>2.5333333333333332</v>
      </c>
      <c r="F135" s="79">
        <f>STDEV(G135:Q135)</f>
        <v>0.25166114784235832</v>
      </c>
      <c r="G135" s="79"/>
      <c r="H135" s="79">
        <v>2.2999999999999998</v>
      </c>
      <c r="I135" s="157"/>
      <c r="J135" s="140"/>
      <c r="K135" s="141"/>
      <c r="L135" s="155">
        <v>2.8</v>
      </c>
      <c r="O135" s="155">
        <v>2.5</v>
      </c>
    </row>
    <row r="136" spans="1:16">
      <c r="A136" s="156" t="s">
        <v>142</v>
      </c>
      <c r="B136" t="s">
        <v>22</v>
      </c>
      <c r="C136" t="s">
        <v>48</v>
      </c>
      <c r="D136" s="79">
        <f>E136*(1+$T$1)</f>
        <v>2.7349999999999999</v>
      </c>
      <c r="E136" s="79">
        <f>AVERAGE(G136:Q136)</f>
        <v>1.8233333333333333</v>
      </c>
      <c r="F136" s="79">
        <f>STDEV(G136:Q136)</f>
        <v>0.5857189314566047</v>
      </c>
      <c r="G136" s="79"/>
      <c r="H136" s="79">
        <v>1.99</v>
      </c>
      <c r="I136" s="157"/>
      <c r="J136" s="140">
        <v>1.7</v>
      </c>
      <c r="K136" s="141"/>
      <c r="L136" s="155">
        <v>1.5</v>
      </c>
      <c r="N136" s="155">
        <v>1</v>
      </c>
      <c r="O136" s="155">
        <v>2.75</v>
      </c>
      <c r="P136" s="155">
        <v>2</v>
      </c>
    </row>
    <row r="137" spans="1:16">
      <c r="A137" s="94" t="s">
        <v>142</v>
      </c>
      <c r="B137" t="s">
        <v>26</v>
      </c>
      <c r="C137" t="s">
        <v>89</v>
      </c>
      <c r="D137" s="79">
        <f>E137*(1+$T$1)</f>
        <v>1.78125</v>
      </c>
      <c r="E137" s="79">
        <f>AVERAGE(G137:Q137)</f>
        <v>1.1875</v>
      </c>
      <c r="F137" s="79">
        <f>STDEV(G137:Q137)</f>
        <v>0.13149778198382917</v>
      </c>
      <c r="G137" s="79"/>
      <c r="H137" s="79">
        <v>1</v>
      </c>
      <c r="I137" s="105"/>
      <c r="J137" s="140">
        <v>1.25</v>
      </c>
      <c r="K137" s="141"/>
      <c r="L137" s="155">
        <v>1.3</v>
      </c>
      <c r="P137" s="155">
        <v>1.2</v>
      </c>
    </row>
    <row r="138" spans="1:16">
      <c r="A138" s="322" t="s">
        <v>21</v>
      </c>
      <c r="B138" t="s">
        <v>22</v>
      </c>
      <c r="C138" t="s">
        <v>23</v>
      </c>
      <c r="D138" s="79">
        <f>E138*(1+$T$1)</f>
        <v>3.7650000000000006</v>
      </c>
      <c r="E138" s="79">
        <f>AVERAGE(G138:Q138)</f>
        <v>2.5100000000000002</v>
      </c>
      <c r="F138" s="79">
        <f>STDEV(G138:Q138)</f>
        <v>0.61506097258727077</v>
      </c>
      <c r="G138" s="79"/>
      <c r="H138" s="79">
        <v>1.9</v>
      </c>
      <c r="I138" s="201">
        <v>2.5</v>
      </c>
      <c r="J138" s="140"/>
      <c r="K138" s="141"/>
      <c r="O138" s="155">
        <v>3.13</v>
      </c>
    </row>
    <row r="139" spans="1:16">
      <c r="A139" t="s">
        <v>21</v>
      </c>
      <c r="B139" t="s">
        <v>22</v>
      </c>
      <c r="C139" t="s">
        <v>921</v>
      </c>
      <c r="D139" s="79" t="e">
        <f>E139*(1+$O$1)</f>
        <v>#VALUE!</v>
      </c>
      <c r="E139" s="79">
        <f>AVERAGE(G139:Q139)</f>
        <v>2.25</v>
      </c>
      <c r="F139" s="79">
        <f>STDEV(G139:Q139)</f>
        <v>0.45000000000000062</v>
      </c>
      <c r="G139" s="79"/>
      <c r="H139" s="79">
        <v>2.25</v>
      </c>
      <c r="I139" s="79"/>
      <c r="J139" s="140"/>
      <c r="K139" s="141"/>
      <c r="L139" s="155">
        <v>1.8</v>
      </c>
      <c r="O139" s="155">
        <v>2.7</v>
      </c>
    </row>
    <row r="140" spans="1:16">
      <c r="A140" s="322" t="s">
        <v>21</v>
      </c>
      <c r="B140" t="s">
        <v>22</v>
      </c>
      <c r="C140" t="s">
        <v>24</v>
      </c>
      <c r="D140" s="79">
        <f>E140*(1+$T$1)</f>
        <v>4.1999999999999993</v>
      </c>
      <c r="E140" s="79">
        <f>AVERAGE(G140:Q140)</f>
        <v>2.8</v>
      </c>
      <c r="F140" s="79">
        <f>STDEV(G140:Q140)</f>
        <v>0.85244745683629541</v>
      </c>
      <c r="G140" s="79"/>
      <c r="H140" s="79">
        <v>4</v>
      </c>
      <c r="I140" s="79">
        <v>2.5</v>
      </c>
      <c r="J140" s="140"/>
      <c r="K140" s="141"/>
      <c r="L140" s="155">
        <v>2</v>
      </c>
      <c r="O140" s="155">
        <v>2.7</v>
      </c>
    </row>
    <row r="141" spans="1:16">
      <c r="A141" s="322" t="s">
        <v>21</v>
      </c>
      <c r="B141" t="s">
        <v>26</v>
      </c>
      <c r="C141" t="s">
        <v>922</v>
      </c>
      <c r="D141" s="79">
        <f>E141*(1+$T$1)</f>
        <v>2.3250000000000002</v>
      </c>
      <c r="E141" s="79">
        <f>AVERAGE(G141:Q141)</f>
        <v>1.55</v>
      </c>
      <c r="F141" s="79">
        <f>STDEV(G141:Q141)</f>
        <v>0.47749345545253263</v>
      </c>
      <c r="G141" s="79"/>
      <c r="H141" s="79">
        <v>1.1000000000000001</v>
      </c>
      <c r="I141" s="79">
        <v>2</v>
      </c>
      <c r="J141" s="140"/>
      <c r="K141" s="141"/>
      <c r="L141" s="155">
        <v>1.6</v>
      </c>
      <c r="N141" s="155">
        <v>0.85</v>
      </c>
      <c r="O141" s="155">
        <v>1.75</v>
      </c>
      <c r="P141" s="155">
        <v>2</v>
      </c>
    </row>
    <row r="142" spans="1:16">
      <c r="A142" s="156" t="s">
        <v>142</v>
      </c>
      <c r="B142" t="s">
        <v>33</v>
      </c>
      <c r="C142" t="s">
        <v>102</v>
      </c>
      <c r="D142" s="79">
        <f>E142*(1+$T$1)</f>
        <v>2.25</v>
      </c>
      <c r="E142" s="79">
        <f>AVERAGE(G142:Q142)</f>
        <v>1.5</v>
      </c>
      <c r="F142" s="79" t="e">
        <f>STDEV(G142:Q142)</f>
        <v>#DIV/0!</v>
      </c>
      <c r="G142" s="79"/>
      <c r="H142" s="79"/>
      <c r="I142" s="157">
        <v>1.5</v>
      </c>
      <c r="J142" s="140"/>
      <c r="K142" s="141"/>
    </row>
    <row r="143" spans="1:16">
      <c r="A143" s="322" t="s">
        <v>892</v>
      </c>
      <c r="B143" t="s">
        <v>41</v>
      </c>
      <c r="C143" t="s">
        <v>103</v>
      </c>
      <c r="D143" s="79">
        <f>E143*(1+$T$1)</f>
        <v>2.0250000000000004</v>
      </c>
      <c r="E143" s="79">
        <f>AVERAGE(G143:Q143)</f>
        <v>1.35</v>
      </c>
      <c r="F143" s="79">
        <f>STDEV(G143:Q143)</f>
        <v>0.21213203435596303</v>
      </c>
      <c r="G143" s="79">
        <v>1.2</v>
      </c>
      <c r="H143" s="79"/>
      <c r="I143" s="79"/>
      <c r="J143" s="140"/>
      <c r="K143" s="141"/>
      <c r="O143" s="155">
        <v>1.5</v>
      </c>
    </row>
    <row r="144" spans="1:16">
      <c r="A144" s="322" t="s">
        <v>142</v>
      </c>
      <c r="B144" t="s">
        <v>51</v>
      </c>
      <c r="C144" t="s">
        <v>140</v>
      </c>
      <c r="D144" s="79">
        <f>E144*(1+$T$1)</f>
        <v>2.0999999999999996</v>
      </c>
      <c r="E144" s="79">
        <f>AVERAGE(G144:Q144)</f>
        <v>1.4</v>
      </c>
      <c r="F144" s="79" t="e">
        <f>STDEV(G144:Q144)</f>
        <v>#DIV/0!</v>
      </c>
      <c r="G144" s="79"/>
      <c r="H144" s="79"/>
      <c r="I144" s="79">
        <v>1.4</v>
      </c>
      <c r="J144" s="140"/>
      <c r="K144" s="141"/>
    </row>
    <row r="145" spans="1:15">
      <c r="A145" s="322" t="s">
        <v>892</v>
      </c>
      <c r="B145" t="s">
        <v>33</v>
      </c>
      <c r="C145" t="s">
        <v>96</v>
      </c>
      <c r="D145" s="79">
        <f>E145*(1+$T$1)</f>
        <v>2.1949999999999998</v>
      </c>
      <c r="E145" s="79">
        <f>AVERAGE(G145:Q145)</f>
        <v>1.4633333333333332</v>
      </c>
      <c r="F145" s="79">
        <f>STDEV(G145:Q145)</f>
        <v>0.44613152021946778</v>
      </c>
      <c r="G145" s="79"/>
      <c r="H145" s="79">
        <v>1</v>
      </c>
      <c r="I145" s="79"/>
      <c r="J145" s="140"/>
      <c r="K145" s="141"/>
      <c r="N145" s="155">
        <v>1.5</v>
      </c>
      <c r="O145" s="155">
        <v>1.89</v>
      </c>
    </row>
    <row r="146" spans="1:15">
      <c r="A146" s="322" t="s">
        <v>142</v>
      </c>
      <c r="B146" t="s">
        <v>26</v>
      </c>
      <c r="C146" t="s">
        <v>91</v>
      </c>
      <c r="D146" s="79">
        <f>E146*(1+$T$1)</f>
        <v>1.9000000000000004</v>
      </c>
      <c r="E146" s="79">
        <f>AVERAGE(G146:Q146)</f>
        <v>1.2666666666666668</v>
      </c>
      <c r="F146" s="79">
        <f>STDEV(G146:Q146)</f>
        <v>0.30550504633038922</v>
      </c>
      <c r="G146" s="79">
        <v>1.2</v>
      </c>
      <c r="H146" s="79"/>
      <c r="I146" s="79">
        <v>1</v>
      </c>
      <c r="J146" s="140"/>
      <c r="K146" s="141"/>
      <c r="O146" s="155">
        <v>1.6</v>
      </c>
    </row>
    <row r="147" spans="1:15">
      <c r="A147" s="322" t="s">
        <v>142</v>
      </c>
      <c r="B147" t="s">
        <v>22</v>
      </c>
      <c r="C147" t="s">
        <v>54</v>
      </c>
      <c r="D147" s="79">
        <f>E147*(1+$T$1)</f>
        <v>2.3849999999999998</v>
      </c>
      <c r="E147" s="79">
        <f>AVERAGE(G147:Q147)</f>
        <v>1.5899999999999999</v>
      </c>
      <c r="F147" s="79">
        <f>STDEV(G147:Q147)</f>
        <v>8.4852813742385624E-2</v>
      </c>
      <c r="G147" s="79"/>
      <c r="H147" s="79"/>
      <c r="I147" s="79">
        <v>1.65</v>
      </c>
      <c r="J147" s="140"/>
      <c r="K147" s="141"/>
      <c r="O147" s="155">
        <v>1.53</v>
      </c>
    </row>
    <row r="148" spans="1:15">
      <c r="A148" s="322" t="s">
        <v>142</v>
      </c>
      <c r="B148" t="s">
        <v>41</v>
      </c>
      <c r="C148" t="s">
        <v>110</v>
      </c>
      <c r="D148" s="79">
        <f>E148*(1+$T$1)</f>
        <v>1.125</v>
      </c>
      <c r="E148" s="79">
        <f>AVERAGE(G148:Q148)</f>
        <v>0.75</v>
      </c>
      <c r="F148" s="79" t="e">
        <f>STDEV(G148:Q148)</f>
        <v>#DIV/0!</v>
      </c>
      <c r="G148" s="79"/>
      <c r="H148" s="79"/>
      <c r="I148" s="79">
        <v>0.75</v>
      </c>
      <c r="J148" s="140"/>
      <c r="K148" s="141"/>
    </row>
    <row r="149" spans="1:15">
      <c r="A149" s="322" t="s">
        <v>142</v>
      </c>
      <c r="B149" t="s">
        <v>49</v>
      </c>
      <c r="C149" t="s">
        <v>897</v>
      </c>
      <c r="D149" s="79">
        <f>E149*(1+$T$1)</f>
        <v>2.9249999999999998</v>
      </c>
      <c r="E149" s="79">
        <f>AVERAGE(G149:Q149)</f>
        <v>1.95</v>
      </c>
      <c r="F149" s="79" t="e">
        <f>STDEV(G149:Q149)</f>
        <v>#DIV/0!</v>
      </c>
      <c r="G149" s="79"/>
      <c r="H149" s="79"/>
      <c r="I149" s="79"/>
      <c r="J149" s="140"/>
      <c r="K149" s="141"/>
      <c r="O149" s="155">
        <v>1.95</v>
      </c>
    </row>
    <row r="150" spans="1:15">
      <c r="A150" s="322" t="s">
        <v>142</v>
      </c>
      <c r="B150" t="s">
        <v>33</v>
      </c>
      <c r="C150" t="s">
        <v>898</v>
      </c>
      <c r="D150" s="79">
        <f>E150*(1+$T$1)</f>
        <v>3.6524999999999999</v>
      </c>
      <c r="E150" s="79">
        <f>AVERAGE(G150:Q150)</f>
        <v>2.4350000000000001</v>
      </c>
      <c r="F150" s="79">
        <f>STDEV(G150:Q150)</f>
        <v>9.1923881554251102E-2</v>
      </c>
      <c r="G150" s="79"/>
      <c r="H150" s="79"/>
      <c r="I150" s="79"/>
      <c r="J150" s="140"/>
      <c r="K150" s="141"/>
      <c r="N150" s="155">
        <v>2.5</v>
      </c>
      <c r="O150" s="155">
        <v>2.37</v>
      </c>
    </row>
    <row r="151" spans="1:15">
      <c r="A151" s="322"/>
      <c r="D151" s="79" t="e">
        <f>E151*(1+$T$1)</f>
        <v>#DIV/0!</v>
      </c>
      <c r="E151" s="79" t="e">
        <f>AVERAGE(G151:Q151)</f>
        <v>#DIV/0!</v>
      </c>
      <c r="F151" s="79" t="e">
        <f>STDEV(G151:Q151)</f>
        <v>#DIV/0!</v>
      </c>
      <c r="G151" s="79"/>
      <c r="H151" s="79"/>
      <c r="I151" s="79"/>
      <c r="J151" s="140"/>
      <c r="K151" s="141"/>
    </row>
    <row r="152" spans="1:15">
      <c r="A152" s="322"/>
      <c r="D152" s="79" t="e">
        <f>E152*(1+$T$1)</f>
        <v>#DIV/0!</v>
      </c>
      <c r="E152" s="79" t="e">
        <f>AVERAGE(G152:Q152)</f>
        <v>#DIV/0!</v>
      </c>
      <c r="F152" s="79" t="e">
        <f>STDEV(G152:Q152)</f>
        <v>#DIV/0!</v>
      </c>
      <c r="G152" s="79"/>
      <c r="H152" s="79"/>
      <c r="I152" s="79"/>
      <c r="J152" s="140"/>
      <c r="K152" s="141"/>
    </row>
    <row r="153" spans="1:15">
      <c r="A153" s="322"/>
      <c r="D153" s="79" t="e">
        <f>E153*(1+$T$1)</f>
        <v>#DIV/0!</v>
      </c>
      <c r="E153" s="79" t="e">
        <f>AVERAGE(G153:Q153)</f>
        <v>#DIV/0!</v>
      </c>
      <c r="F153" s="79" t="e">
        <f>STDEV(G153:Q153)</f>
        <v>#DIV/0!</v>
      </c>
      <c r="G153" s="79"/>
      <c r="H153" s="79"/>
      <c r="I153" s="79"/>
      <c r="J153" s="140"/>
      <c r="K153" s="141"/>
    </row>
    <row r="154" spans="1:15">
      <c r="A154" s="322"/>
      <c r="D154" s="79" t="e">
        <f>E154*(1+$T$1)</f>
        <v>#DIV/0!</v>
      </c>
      <c r="E154" s="79" t="e">
        <f>AVERAGE(G154:Q154)</f>
        <v>#DIV/0!</v>
      </c>
      <c r="F154" s="79" t="e">
        <f>STDEV(G154:Q154)</f>
        <v>#DIV/0!</v>
      </c>
      <c r="G154" s="79"/>
      <c r="H154" s="79"/>
      <c r="I154" s="79"/>
      <c r="J154" s="140"/>
      <c r="K154" s="141"/>
    </row>
    <row r="155" spans="1:15">
      <c r="A155" s="322"/>
      <c r="D155" s="79" t="e">
        <f>E155*(1+$T$1)</f>
        <v>#DIV/0!</v>
      </c>
      <c r="E155" s="79" t="e">
        <f>AVERAGE(G155:Q155)</f>
        <v>#DIV/0!</v>
      </c>
      <c r="F155" s="79" t="e">
        <f>STDEV(G155:Q155)</f>
        <v>#DIV/0!</v>
      </c>
      <c r="G155" s="79"/>
      <c r="H155" s="79"/>
      <c r="I155" s="79"/>
      <c r="J155" s="140"/>
      <c r="K155" s="141"/>
    </row>
    <row r="156" spans="1:15">
      <c r="A156" s="322"/>
      <c r="D156" s="79" t="e">
        <f>E156*(1+$T$1)</f>
        <v>#DIV/0!</v>
      </c>
      <c r="E156" s="79" t="e">
        <f>AVERAGE(G156:Q156)</f>
        <v>#DIV/0!</v>
      </c>
      <c r="F156" s="79" t="e">
        <f>STDEV(G156:Q156)</f>
        <v>#DIV/0!</v>
      </c>
      <c r="G156" s="79"/>
      <c r="H156" s="79"/>
      <c r="I156" s="79"/>
      <c r="J156" s="140"/>
      <c r="K156" s="141"/>
    </row>
    <row r="157" spans="1:15">
      <c r="A157" s="322"/>
      <c r="D157" s="79" t="e">
        <f>E157*(1+$T$1)</f>
        <v>#DIV/0!</v>
      </c>
      <c r="E157" s="79" t="e">
        <f>AVERAGE(G157:Q157)</f>
        <v>#DIV/0!</v>
      </c>
      <c r="F157" s="79" t="e">
        <f>STDEV(G157:Q157)</f>
        <v>#DIV/0!</v>
      </c>
      <c r="G157" s="79"/>
      <c r="H157" s="79"/>
      <c r="I157" s="79"/>
      <c r="J157" s="140"/>
      <c r="K157" s="141"/>
    </row>
    <row r="158" spans="1:15">
      <c r="A158" s="322"/>
      <c r="D158" s="79" t="e">
        <f>E158*(1+$T$1)</f>
        <v>#DIV/0!</v>
      </c>
      <c r="E158" s="79" t="e">
        <f>AVERAGE(G158:Q158)</f>
        <v>#DIV/0!</v>
      </c>
      <c r="F158" s="79" t="e">
        <f>STDEV(G158:Q158)</f>
        <v>#DIV/0!</v>
      </c>
      <c r="G158" s="79"/>
      <c r="H158" s="79"/>
      <c r="I158" s="79"/>
      <c r="J158" s="140"/>
      <c r="K158" s="141"/>
    </row>
    <row r="159" spans="1:15">
      <c r="A159" s="322"/>
      <c r="D159" s="79" t="e">
        <f>E159*(1+$T$1)</f>
        <v>#DIV/0!</v>
      </c>
      <c r="E159" s="79" t="e">
        <f>AVERAGE(G159:Q159)</f>
        <v>#DIV/0!</v>
      </c>
      <c r="F159" s="79" t="e">
        <f>STDEV(G159:Q159)</f>
        <v>#DIV/0!</v>
      </c>
      <c r="G159" s="79"/>
      <c r="H159" s="79"/>
      <c r="I159" s="79"/>
      <c r="J159" s="140"/>
      <c r="K159" s="141"/>
    </row>
    <row r="160" spans="1:15">
      <c r="A160" s="156"/>
      <c r="D160" s="79" t="e">
        <f>E160*(1+$T$1)</f>
        <v>#DIV/0!</v>
      </c>
      <c r="E160" s="79" t="e">
        <f>AVERAGE(G160:Q160)</f>
        <v>#DIV/0!</v>
      </c>
      <c r="F160" s="79" t="e">
        <f>STDEV(G160:Q160)</f>
        <v>#DIV/0!</v>
      </c>
      <c r="G160" s="79"/>
      <c r="H160" s="79"/>
      <c r="I160" s="157"/>
      <c r="J160" s="140"/>
      <c r="K160" s="141"/>
    </row>
    <row r="161" spans="1:11">
      <c r="A161" s="156"/>
      <c r="D161" s="79" t="e">
        <f>E161*(1+$T$1)</f>
        <v>#DIV/0!</v>
      </c>
      <c r="E161" s="79" t="e">
        <f>AVERAGE(G161:Q161)</f>
        <v>#DIV/0!</v>
      </c>
      <c r="F161" s="79" t="e">
        <f>STDEV(G161:Q161)</f>
        <v>#DIV/0!</v>
      </c>
      <c r="G161" s="79"/>
      <c r="H161" s="79"/>
      <c r="I161" s="157"/>
      <c r="J161" s="140"/>
      <c r="K161" s="141"/>
    </row>
    <row r="162" spans="1:11">
      <c r="A162" s="156"/>
      <c r="D162" s="79" t="e">
        <f>E162*(1+$T$1)</f>
        <v>#DIV/0!</v>
      </c>
      <c r="E162" s="79" t="e">
        <f>AVERAGE(G162:Q162)</f>
        <v>#DIV/0!</v>
      </c>
      <c r="F162" s="79" t="e">
        <f>STDEV(G162:Q162)</f>
        <v>#DIV/0!</v>
      </c>
      <c r="G162" s="79"/>
      <c r="H162" s="79"/>
      <c r="I162" s="157"/>
      <c r="J162" s="140"/>
      <c r="K162" s="141"/>
    </row>
    <row r="163" spans="1:11">
      <c r="A163" s="156"/>
      <c r="D163" s="79" t="e">
        <f>E163*(1+$T$1)</f>
        <v>#DIV/0!</v>
      </c>
      <c r="E163" s="79" t="e">
        <f>AVERAGE(G163:Q163)</f>
        <v>#DIV/0!</v>
      </c>
      <c r="F163" s="79" t="e">
        <f>STDEV(G163:Q163)</f>
        <v>#DIV/0!</v>
      </c>
      <c r="G163" s="79"/>
      <c r="H163" s="79"/>
      <c r="I163" s="157"/>
      <c r="J163" s="140"/>
      <c r="K163" s="141"/>
    </row>
    <row r="164" spans="1:11">
      <c r="A164" s="156"/>
      <c r="D164" s="79" t="e">
        <f>E164*(1+$T$1)</f>
        <v>#DIV/0!</v>
      </c>
      <c r="E164" s="79" t="e">
        <f>AVERAGE(G164:Q164)</f>
        <v>#DIV/0!</v>
      </c>
      <c r="F164" s="79" t="e">
        <f>STDEV(G164:Q164)</f>
        <v>#DIV/0!</v>
      </c>
      <c r="G164" s="79"/>
      <c r="H164" s="79"/>
      <c r="I164" s="157"/>
      <c r="J164" s="140"/>
      <c r="K164" s="141"/>
    </row>
    <row r="165" spans="1:11">
      <c r="A165" s="322"/>
      <c r="D165" s="79" t="e">
        <f>E165*(1+$T$1)</f>
        <v>#DIV/0!</v>
      </c>
      <c r="E165" s="79" t="e">
        <f>AVERAGE(G165:Q165)</f>
        <v>#DIV/0!</v>
      </c>
      <c r="F165" s="79" t="e">
        <f>STDEV(G165:Q165)</f>
        <v>#DIV/0!</v>
      </c>
      <c r="G165" s="79"/>
      <c r="H165" s="79"/>
      <c r="I165" s="79"/>
      <c r="J165" s="140"/>
      <c r="K165" s="141"/>
    </row>
    <row r="166" spans="1:11">
      <c r="A166" s="322"/>
      <c r="D166" s="79" t="e">
        <f>E166*(1+$T$1)</f>
        <v>#DIV/0!</v>
      </c>
      <c r="E166" s="79" t="e">
        <f>AVERAGE(G166:Q166)</f>
        <v>#DIV/0!</v>
      </c>
      <c r="F166" s="79" t="e">
        <f>STDEV(G166:Q166)</f>
        <v>#DIV/0!</v>
      </c>
      <c r="G166" s="79"/>
      <c r="H166" s="79"/>
      <c r="I166" s="79"/>
      <c r="J166" s="140"/>
      <c r="K166" s="141"/>
    </row>
    <row r="167" spans="1:11">
      <c r="A167" s="322"/>
      <c r="D167" s="79" t="e">
        <f>E167*(1+$T$1)</f>
        <v>#DIV/0!</v>
      </c>
      <c r="E167" s="79" t="e">
        <f>AVERAGE(G167:Q167)</f>
        <v>#DIV/0!</v>
      </c>
      <c r="F167" s="79" t="e">
        <f>STDEV(G167:Q167)</f>
        <v>#DIV/0!</v>
      </c>
      <c r="G167" s="79"/>
      <c r="H167" s="79"/>
      <c r="I167" s="79"/>
      <c r="J167" s="140"/>
      <c r="K167" s="141"/>
    </row>
    <row r="168" spans="1:11">
      <c r="A168" s="322"/>
      <c r="D168" s="79" t="e">
        <f>E168*(1+$T$1)</f>
        <v>#DIV/0!</v>
      </c>
      <c r="E168" s="79" t="e">
        <f>AVERAGE(G168:Q168)</f>
        <v>#DIV/0!</v>
      </c>
      <c r="F168" s="79" t="e">
        <f>STDEV(G168:Q168)</f>
        <v>#DIV/0!</v>
      </c>
      <c r="G168" s="79"/>
      <c r="H168" s="79"/>
      <c r="I168" s="79"/>
      <c r="J168" s="140"/>
      <c r="K168" s="141"/>
    </row>
    <row r="169" spans="1:11">
      <c r="A169" s="322"/>
      <c r="D169" s="79" t="e">
        <f>E169*(1+$T$1)</f>
        <v>#DIV/0!</v>
      </c>
      <c r="E169" s="79" t="e">
        <f>AVERAGE(G169:Q169)</f>
        <v>#DIV/0!</v>
      </c>
      <c r="F169" s="79" t="e">
        <f>STDEV(G169:Q169)</f>
        <v>#DIV/0!</v>
      </c>
      <c r="G169" s="140"/>
      <c r="H169" s="140"/>
      <c r="I169" s="79"/>
      <c r="J169" s="140"/>
      <c r="K169" s="141"/>
    </row>
    <row r="170" spans="1:11">
      <c r="A170" s="322"/>
      <c r="D170" s="79" t="e">
        <f>E170*(1+$T$1)</f>
        <v>#DIV/0!</v>
      </c>
      <c r="E170" s="79" t="e">
        <f>AVERAGE(G170:Q170)</f>
        <v>#DIV/0!</v>
      </c>
      <c r="F170" s="79" t="e">
        <f>STDEV(G170:Q170)</f>
        <v>#DIV/0!</v>
      </c>
      <c r="G170" s="140"/>
      <c r="H170" s="140"/>
      <c r="I170" s="79"/>
      <c r="J170" s="140"/>
      <c r="K170" s="141"/>
    </row>
    <row r="171" spans="1:11">
      <c r="A171" s="322"/>
      <c r="D171" s="79" t="e">
        <f>E171*(1+$T$1)</f>
        <v>#DIV/0!</v>
      </c>
      <c r="E171" s="79" t="e">
        <f>AVERAGE(G171:Q171)</f>
        <v>#DIV/0!</v>
      </c>
      <c r="F171" s="79" t="e">
        <f>STDEV(G171:Q171)</f>
        <v>#DIV/0!</v>
      </c>
      <c r="G171" s="140"/>
      <c r="H171" s="140"/>
      <c r="I171" s="79"/>
      <c r="J171" s="140"/>
      <c r="K171" s="141"/>
    </row>
    <row r="172" spans="1:11">
      <c r="A172" s="322"/>
      <c r="D172" s="79" t="e">
        <f>E172*(1+$T$1)</f>
        <v>#DIV/0!</v>
      </c>
      <c r="E172" s="79" t="e">
        <f>AVERAGE(G172:Q172)</f>
        <v>#DIV/0!</v>
      </c>
      <c r="F172" s="79" t="e">
        <f>STDEV(G172:Q172)</f>
        <v>#DIV/0!</v>
      </c>
      <c r="G172" s="140"/>
      <c r="H172" s="140"/>
      <c r="I172" s="79"/>
      <c r="J172" s="140"/>
      <c r="K172" s="141"/>
    </row>
    <row r="173" spans="1:11">
      <c r="A173" s="322"/>
      <c r="D173" s="79" t="e">
        <f>E173*(1+$T$1)</f>
        <v>#DIV/0!</v>
      </c>
      <c r="E173" s="79" t="e">
        <f>AVERAGE(G173:Q173)</f>
        <v>#DIV/0!</v>
      </c>
      <c r="F173" s="79" t="e">
        <f>STDEV(G173:Q173)</f>
        <v>#DIV/0!</v>
      </c>
      <c r="G173" s="140"/>
      <c r="H173" s="140"/>
      <c r="I173" s="79"/>
      <c r="J173" s="140"/>
      <c r="K173" s="141"/>
    </row>
    <row r="174" spans="1:11">
      <c r="A174" s="322"/>
      <c r="D174" s="79" t="e">
        <f>E174*(1+$T$1)</f>
        <v>#DIV/0!</v>
      </c>
      <c r="E174" s="79" t="e">
        <f>AVERAGE(G174:Q174)</f>
        <v>#DIV/0!</v>
      </c>
      <c r="F174" s="79" t="e">
        <f>STDEV(G174:Q174)</f>
        <v>#DIV/0!</v>
      </c>
      <c r="G174" s="140"/>
      <c r="H174" s="140"/>
      <c r="I174" s="79"/>
      <c r="J174" s="140"/>
      <c r="K174" s="141"/>
    </row>
    <row r="175" spans="1:11">
      <c r="A175" s="322"/>
      <c r="D175" s="79" t="e">
        <f>E175*(1+$T$1)</f>
        <v>#DIV/0!</v>
      </c>
      <c r="E175" s="79" t="e">
        <f>AVERAGE(G175:Q175)</f>
        <v>#DIV/0!</v>
      </c>
      <c r="F175" s="79" t="e">
        <f>STDEV(G175:Q175)</f>
        <v>#DIV/0!</v>
      </c>
      <c r="G175" s="140"/>
      <c r="H175" s="140"/>
      <c r="I175" s="79"/>
      <c r="J175" s="140"/>
      <c r="K175" s="141"/>
    </row>
    <row r="176" spans="1:11">
      <c r="A176" s="322"/>
      <c r="D176" s="79" t="e">
        <f>E176*(1+$T$1)</f>
        <v>#DIV/0!</v>
      </c>
      <c r="E176" s="79" t="e">
        <f>AVERAGE(G176:Q176)</f>
        <v>#DIV/0!</v>
      </c>
      <c r="F176" s="79" t="e">
        <f>STDEV(G176:Q176)</f>
        <v>#DIV/0!</v>
      </c>
      <c r="G176" s="140"/>
      <c r="H176" s="140"/>
      <c r="I176" s="79"/>
      <c r="J176" s="140"/>
      <c r="K176" s="141"/>
    </row>
    <row r="177" spans="1:11">
      <c r="A177" s="322"/>
      <c r="D177" s="79" t="e">
        <f>E177*(1+$T$1)</f>
        <v>#DIV/0!</v>
      </c>
      <c r="E177" s="79" t="e">
        <f>AVERAGE(G177:Q177)</f>
        <v>#DIV/0!</v>
      </c>
      <c r="F177" s="79" t="e">
        <f>STDEV(G177:Q177)</f>
        <v>#DIV/0!</v>
      </c>
      <c r="G177" s="140"/>
      <c r="H177" s="140"/>
      <c r="I177" s="79"/>
      <c r="J177" s="140"/>
      <c r="K177" s="141"/>
    </row>
    <row r="178" spans="1:11">
      <c r="A178" s="322"/>
      <c r="D178" s="79" t="e">
        <f>E178*(1+$T$1)</f>
        <v>#DIV/0!</v>
      </c>
      <c r="E178" s="79" t="e">
        <f>AVERAGE(G178:Q178)</f>
        <v>#DIV/0!</v>
      </c>
      <c r="F178" s="79" t="e">
        <f>STDEV(G178:Q178)</f>
        <v>#DIV/0!</v>
      </c>
      <c r="G178" s="140"/>
      <c r="H178" s="140"/>
      <c r="I178" s="79"/>
      <c r="J178" s="140"/>
      <c r="K178" s="141"/>
    </row>
    <row r="179" spans="1:11">
      <c r="A179" s="322"/>
      <c r="D179" s="79" t="e">
        <f>E179*(1+$T$1)</f>
        <v>#DIV/0!</v>
      </c>
      <c r="E179" s="79" t="e">
        <f>AVERAGE(G179:Q179)</f>
        <v>#DIV/0!</v>
      </c>
      <c r="F179" s="79" t="e">
        <f>STDEV(G179:Q179)</f>
        <v>#DIV/0!</v>
      </c>
      <c r="G179" s="140"/>
      <c r="H179" s="140"/>
      <c r="I179" s="79"/>
      <c r="J179" s="140"/>
      <c r="K179" s="141"/>
    </row>
    <row r="180" spans="1:11">
      <c r="A180" s="322"/>
      <c r="D180" s="79" t="e">
        <f>E180*(1+$T$1)</f>
        <v>#DIV/0!</v>
      </c>
      <c r="E180" s="79" t="e">
        <f>AVERAGE(G180:Q180)</f>
        <v>#DIV/0!</v>
      </c>
      <c r="F180" s="79" t="e">
        <f>STDEV(G180:Q180)</f>
        <v>#DIV/0!</v>
      </c>
      <c r="G180" s="140"/>
      <c r="H180" s="140"/>
      <c r="I180" s="79"/>
      <c r="J180" s="140"/>
      <c r="K180" s="141"/>
    </row>
    <row r="181" spans="1:11">
      <c r="A181" s="322"/>
      <c r="D181" s="79" t="e">
        <f>E181*(1+$T$1)</f>
        <v>#DIV/0!</v>
      </c>
      <c r="E181" s="79" t="e">
        <f>AVERAGE(G181:Q181)</f>
        <v>#DIV/0!</v>
      </c>
      <c r="F181" s="79" t="e">
        <f>STDEV(G181:Q181)</f>
        <v>#DIV/0!</v>
      </c>
      <c r="G181" s="140"/>
      <c r="H181" s="140"/>
      <c r="I181" s="79"/>
      <c r="J181" s="140"/>
      <c r="K181" s="141"/>
    </row>
    <row r="182" spans="1:11">
      <c r="A182" s="322"/>
      <c r="D182" s="79" t="e">
        <f>E182*(1+$T$1)</f>
        <v>#DIV/0!</v>
      </c>
      <c r="E182" s="79" t="e">
        <f>AVERAGE(G182:Q182)</f>
        <v>#DIV/0!</v>
      </c>
      <c r="F182" s="79" t="e">
        <f>STDEV(G182:Q182)</f>
        <v>#DIV/0!</v>
      </c>
      <c r="G182" s="140"/>
      <c r="H182" s="140"/>
      <c r="I182" s="79"/>
      <c r="J182" s="140"/>
      <c r="K182" s="141"/>
    </row>
    <row r="183" spans="1:11">
      <c r="A183" s="322"/>
      <c r="D183" s="79" t="e">
        <f>E183*(1+$T$1)</f>
        <v>#DIV/0!</v>
      </c>
      <c r="E183" s="79" t="e">
        <f>AVERAGE(G183:Q183)</f>
        <v>#DIV/0!</v>
      </c>
      <c r="F183" s="79" t="e">
        <f>STDEV(G183:Q183)</f>
        <v>#DIV/0!</v>
      </c>
      <c r="G183" s="140"/>
      <c r="H183" s="140"/>
      <c r="I183" s="79"/>
      <c r="J183" s="140"/>
      <c r="K183" s="141"/>
    </row>
    <row r="184" spans="1:11">
      <c r="A184" s="322"/>
      <c r="D184" s="79" t="e">
        <f>E184*(1+$T$1)</f>
        <v>#DIV/0!</v>
      </c>
      <c r="E184" s="79" t="e">
        <f>AVERAGE(G184:Q184)</f>
        <v>#DIV/0!</v>
      </c>
      <c r="F184" s="79" t="e">
        <f>STDEV(G184:Q184)</f>
        <v>#DIV/0!</v>
      </c>
      <c r="G184" s="140"/>
      <c r="H184" s="140"/>
      <c r="I184" s="79"/>
      <c r="J184" s="140"/>
      <c r="K184" s="141"/>
    </row>
    <row r="185" spans="1:11">
      <c r="A185" s="322"/>
      <c r="D185" s="79" t="e">
        <f>E185*(1+$T$1)</f>
        <v>#DIV/0!</v>
      </c>
      <c r="E185" s="79" t="e">
        <f>AVERAGE(G185:Q185)</f>
        <v>#DIV/0!</v>
      </c>
      <c r="F185" s="79" t="e">
        <f>STDEV(G185:Q185)</f>
        <v>#DIV/0!</v>
      </c>
      <c r="G185" s="140"/>
      <c r="H185" s="140"/>
      <c r="I185" s="79"/>
      <c r="J185" s="140"/>
      <c r="K185" s="141"/>
    </row>
    <row r="186" spans="1:11">
      <c r="A186" s="322"/>
      <c r="D186" s="79" t="e">
        <f>E186*(1+$T$1)</f>
        <v>#DIV/0!</v>
      </c>
      <c r="E186" s="79" t="e">
        <f>AVERAGE(G186:Q186)</f>
        <v>#DIV/0!</v>
      </c>
      <c r="F186" s="79" t="e">
        <f>STDEV(G186:Q186)</f>
        <v>#DIV/0!</v>
      </c>
      <c r="G186" s="140"/>
      <c r="H186" s="140"/>
      <c r="I186" s="79"/>
      <c r="J186" s="140"/>
      <c r="K186" s="141"/>
    </row>
    <row r="187" spans="1:11">
      <c r="A187" s="322"/>
      <c r="D187" s="79" t="e">
        <f>E187*(1+$T$1)</f>
        <v>#DIV/0!</v>
      </c>
      <c r="E187" s="79" t="e">
        <f>AVERAGE(G187:Q187)</f>
        <v>#DIV/0!</v>
      </c>
      <c r="F187" s="79" t="e">
        <f>STDEV(G187:Q187)</f>
        <v>#DIV/0!</v>
      </c>
      <c r="G187" s="140"/>
      <c r="H187" s="140"/>
      <c r="I187" s="79"/>
      <c r="J187" s="140"/>
      <c r="K187" s="141"/>
    </row>
    <row r="188" spans="1:11">
      <c r="A188" s="322"/>
      <c r="D188" s="79" t="e">
        <f>E188*(1+$T$1)</f>
        <v>#DIV/0!</v>
      </c>
      <c r="E188" s="79" t="e">
        <f>AVERAGE(G188:Q188)</f>
        <v>#DIV/0!</v>
      </c>
      <c r="F188" s="79" t="e">
        <f>STDEV(G188:Q188)</f>
        <v>#DIV/0!</v>
      </c>
      <c r="G188" s="140"/>
      <c r="H188" s="140"/>
      <c r="I188" s="79"/>
      <c r="J188" s="140"/>
      <c r="K188" s="141"/>
    </row>
    <row r="189" spans="1:11">
      <c r="A189" s="322"/>
      <c r="D189" s="79" t="e">
        <f>E189*(1+$T$1)</f>
        <v>#DIV/0!</v>
      </c>
      <c r="E189" s="79" t="e">
        <f>AVERAGE(G189:Q189)</f>
        <v>#DIV/0!</v>
      </c>
      <c r="F189" s="79" t="e">
        <f>STDEV(G189:Q189)</f>
        <v>#DIV/0!</v>
      </c>
      <c r="G189" s="140"/>
      <c r="H189" s="140"/>
      <c r="I189" s="79"/>
      <c r="J189" s="140"/>
      <c r="K189" s="141"/>
    </row>
    <row r="190" spans="1:11">
      <c r="A190" s="322"/>
      <c r="D190" s="79" t="e">
        <f>E190*(1+$T$1)</f>
        <v>#DIV/0!</v>
      </c>
      <c r="E190" s="79" t="e">
        <f>AVERAGE(G190:Q190)</f>
        <v>#DIV/0!</v>
      </c>
      <c r="F190" s="79" t="e">
        <f>STDEV(G190:Q190)</f>
        <v>#DIV/0!</v>
      </c>
      <c r="G190" s="140"/>
      <c r="H190" s="140"/>
      <c r="I190" s="79"/>
      <c r="J190" s="140"/>
      <c r="K190" s="141"/>
    </row>
    <row r="191" spans="1:11">
      <c r="A191" s="322"/>
      <c r="D191" s="79" t="e">
        <f>E191*(1+$T$1)</f>
        <v>#DIV/0!</v>
      </c>
      <c r="E191" s="79" t="e">
        <f>AVERAGE(G191:Q191)</f>
        <v>#DIV/0!</v>
      </c>
      <c r="F191" s="79" t="e">
        <f>STDEV(G191:Q191)</f>
        <v>#DIV/0!</v>
      </c>
      <c r="G191" s="140"/>
      <c r="H191" s="140"/>
      <c r="I191" s="79"/>
      <c r="J191" s="140"/>
      <c r="K191" s="141"/>
    </row>
    <row r="192" spans="1:11">
      <c r="A192" s="322"/>
      <c r="D192" s="79" t="e">
        <f>E192*(1+$T$1)</f>
        <v>#DIV/0!</v>
      </c>
      <c r="E192" s="79" t="e">
        <f>AVERAGE(G192:Q192)</f>
        <v>#DIV/0!</v>
      </c>
      <c r="F192" s="79" t="e">
        <f>STDEV(G192:Q192)</f>
        <v>#DIV/0!</v>
      </c>
      <c r="G192" s="140"/>
      <c r="H192" s="140"/>
      <c r="I192" s="79"/>
      <c r="J192" s="140"/>
      <c r="K192" s="141"/>
    </row>
    <row r="193" spans="1:11">
      <c r="A193" s="322"/>
      <c r="D193" s="79" t="e">
        <f>E193*(1+$T$1)</f>
        <v>#DIV/0!</v>
      </c>
      <c r="E193" s="79" t="e">
        <f>AVERAGE(G193:Q193)</f>
        <v>#DIV/0!</v>
      </c>
      <c r="F193" s="79" t="e">
        <f>STDEV(G193:Q193)</f>
        <v>#DIV/0!</v>
      </c>
      <c r="G193" s="140"/>
      <c r="H193" s="140"/>
      <c r="I193" s="79"/>
      <c r="J193" s="140"/>
      <c r="K193" s="141"/>
    </row>
    <row r="194" spans="1:11">
      <c r="A194" s="322"/>
      <c r="D194" s="79" t="e">
        <f>E194*(1+$T$1)</f>
        <v>#DIV/0!</v>
      </c>
      <c r="E194" s="79" t="e">
        <f>AVERAGE(G194:Q194)</f>
        <v>#DIV/0!</v>
      </c>
      <c r="F194" s="79" t="e">
        <f>STDEV(G194:Q194)</f>
        <v>#DIV/0!</v>
      </c>
      <c r="G194" s="140"/>
      <c r="H194" s="140"/>
      <c r="I194" s="79"/>
      <c r="J194" s="140"/>
      <c r="K194" s="141"/>
    </row>
    <row r="195" spans="1:11">
      <c r="A195" s="322"/>
      <c r="D195" s="79" t="e">
        <f>E195*(1+$T$1)</f>
        <v>#DIV/0!</v>
      </c>
      <c r="E195" s="79" t="e">
        <f>AVERAGE(G195:Q195)</f>
        <v>#DIV/0!</v>
      </c>
      <c r="F195" s="79" t="e">
        <f>STDEV(G195:Q195)</f>
        <v>#DIV/0!</v>
      </c>
      <c r="G195" s="140"/>
      <c r="H195" s="140"/>
      <c r="I195" s="79"/>
      <c r="J195" s="140"/>
      <c r="K195" s="141"/>
    </row>
    <row r="196" spans="1:11">
      <c r="A196" s="322"/>
      <c r="D196" s="79" t="e">
        <f>E196*(1+$T$1)</f>
        <v>#DIV/0!</v>
      </c>
      <c r="E196" s="79" t="e">
        <f>AVERAGE(G196:Q196)</f>
        <v>#DIV/0!</v>
      </c>
      <c r="F196" s="79" t="e">
        <f>STDEV(G196:Q196)</f>
        <v>#DIV/0!</v>
      </c>
      <c r="G196" s="140"/>
      <c r="H196" s="140"/>
      <c r="I196" s="79"/>
      <c r="J196" s="140"/>
      <c r="K196" s="141"/>
    </row>
    <row r="197" spans="1:11">
      <c r="A197" s="322"/>
      <c r="D197" s="79" t="e">
        <f>E197*(1+$T$1)</f>
        <v>#DIV/0!</v>
      </c>
      <c r="E197" s="79" t="e">
        <f>AVERAGE(G197:Q197)</f>
        <v>#DIV/0!</v>
      </c>
      <c r="F197" s="79" t="e">
        <f>STDEV(G197:Q197)</f>
        <v>#DIV/0!</v>
      </c>
      <c r="G197" s="140"/>
      <c r="H197" s="140"/>
      <c r="I197" s="79"/>
      <c r="J197" s="140"/>
      <c r="K197" s="141"/>
    </row>
    <row r="198" spans="1:11">
      <c r="A198" s="322"/>
      <c r="D198" s="79" t="e">
        <f>E198*(1+$T$1)</f>
        <v>#DIV/0!</v>
      </c>
      <c r="E198" s="79" t="e">
        <f>AVERAGE(G198:Q198)</f>
        <v>#DIV/0!</v>
      </c>
      <c r="F198" s="79" t="e">
        <f>STDEV(G198:Q198)</f>
        <v>#DIV/0!</v>
      </c>
      <c r="G198" s="140"/>
      <c r="H198" s="140"/>
      <c r="I198" s="79"/>
      <c r="J198" s="140"/>
      <c r="K198" s="141"/>
    </row>
    <row r="199" spans="1:11">
      <c r="A199" s="322"/>
      <c r="D199" s="79" t="e">
        <f>E199*(1+$T$1)</f>
        <v>#DIV/0!</v>
      </c>
      <c r="E199" s="79" t="e">
        <f>AVERAGE(G199:Q199)</f>
        <v>#DIV/0!</v>
      </c>
      <c r="F199" s="79" t="e">
        <f>STDEV(G199:Q199)</f>
        <v>#DIV/0!</v>
      </c>
      <c r="G199" s="140"/>
      <c r="H199" s="140"/>
      <c r="I199" s="79"/>
      <c r="J199" s="140"/>
      <c r="K199" s="141"/>
    </row>
    <row r="200" spans="1:11">
      <c r="A200" s="322"/>
      <c r="D200" s="79" t="e">
        <f>E200*(1+$T$1)</f>
        <v>#DIV/0!</v>
      </c>
      <c r="E200" s="79" t="e">
        <f>AVERAGE(G200:Q200)</f>
        <v>#DIV/0!</v>
      </c>
      <c r="F200" s="79" t="e">
        <f>STDEV(G200:Q200)</f>
        <v>#DIV/0!</v>
      </c>
      <c r="G200" s="140"/>
      <c r="H200" s="140"/>
      <c r="I200" s="79"/>
      <c r="J200" s="140"/>
      <c r="K200" s="141"/>
    </row>
    <row r="201" spans="1:11">
      <c r="A201" s="322"/>
      <c r="D201" s="79" t="e">
        <f>E201*(1+$T$1)</f>
        <v>#DIV/0!</v>
      </c>
      <c r="E201" s="79" t="e">
        <f>AVERAGE(G201:Q201)</f>
        <v>#DIV/0!</v>
      </c>
      <c r="F201" s="79" t="e">
        <f>STDEV(G201:Q201)</f>
        <v>#DIV/0!</v>
      </c>
      <c r="G201" s="140"/>
      <c r="H201" s="140"/>
      <c r="I201" s="79"/>
      <c r="J201" s="140"/>
      <c r="K201" s="141"/>
    </row>
    <row r="202" spans="1:11">
      <c r="A202" s="322"/>
      <c r="D202" s="79" t="e">
        <f>E202*(1+$T$1)</f>
        <v>#DIV/0!</v>
      </c>
      <c r="E202" s="79" t="e">
        <f>AVERAGE(G202:Q202)</f>
        <v>#DIV/0!</v>
      </c>
      <c r="F202" s="79" t="e">
        <f>STDEV(G202:Q202)</f>
        <v>#DIV/0!</v>
      </c>
      <c r="G202" s="140"/>
      <c r="H202" s="140"/>
      <c r="I202" s="79"/>
      <c r="J202" s="140"/>
      <c r="K202" s="141"/>
    </row>
    <row r="203" spans="1:11">
      <c r="A203" s="322"/>
      <c r="D203" s="79" t="e">
        <f>E203*(1+$T$1)</f>
        <v>#DIV/0!</v>
      </c>
      <c r="E203" s="79" t="e">
        <f>AVERAGE(G203:Q203)</f>
        <v>#DIV/0!</v>
      </c>
      <c r="F203" s="79" t="e">
        <f>STDEV(G203:Q203)</f>
        <v>#DIV/0!</v>
      </c>
      <c r="G203" s="140"/>
      <c r="H203" s="140"/>
      <c r="I203" s="79"/>
      <c r="J203" s="140"/>
      <c r="K203" s="141"/>
    </row>
    <row r="204" spans="1:11">
      <c r="A204" s="322"/>
      <c r="D204" s="79" t="e">
        <f>E204*(1+$T$1)</f>
        <v>#DIV/0!</v>
      </c>
      <c r="E204" s="79" t="e">
        <f>AVERAGE(G204:Q204)</f>
        <v>#DIV/0!</v>
      </c>
      <c r="F204" s="79" t="e">
        <f>STDEV(G204:Q204)</f>
        <v>#DIV/0!</v>
      </c>
      <c r="G204" s="140"/>
      <c r="H204" s="140"/>
      <c r="I204" s="79"/>
      <c r="J204" s="140"/>
      <c r="K204" s="141"/>
    </row>
    <row r="205" spans="1:11">
      <c r="A205" s="322"/>
      <c r="D205" s="79" t="e">
        <f>E205*(1+$T$1)</f>
        <v>#DIV/0!</v>
      </c>
      <c r="E205" s="79" t="e">
        <f>AVERAGE(G205:Q205)</f>
        <v>#DIV/0!</v>
      </c>
      <c r="F205" s="79" t="e">
        <f>STDEV(G205:Q205)</f>
        <v>#DIV/0!</v>
      </c>
      <c r="G205" s="140"/>
      <c r="H205" s="140"/>
      <c r="I205" s="79"/>
      <c r="J205" s="140"/>
      <c r="K205" s="141"/>
    </row>
    <row r="206" spans="1:11">
      <c r="A206" s="322"/>
      <c r="D206" s="79" t="e">
        <f>E206*(1+$T$1)</f>
        <v>#DIV/0!</v>
      </c>
      <c r="E206" s="79" t="e">
        <f>AVERAGE(G206:Q206)</f>
        <v>#DIV/0!</v>
      </c>
      <c r="F206" s="79" t="e">
        <f>STDEV(G206:Q206)</f>
        <v>#DIV/0!</v>
      </c>
      <c r="G206" s="140"/>
      <c r="H206" s="140"/>
      <c r="I206" s="79"/>
      <c r="J206" s="140"/>
      <c r="K206" s="141"/>
    </row>
    <row r="207" spans="1:11">
      <c r="A207" s="322"/>
      <c r="D207" s="79" t="e">
        <f>E207*(1+$T$1)</f>
        <v>#DIV/0!</v>
      </c>
      <c r="E207" s="79" t="e">
        <f>AVERAGE(G207:Q207)</f>
        <v>#DIV/0!</v>
      </c>
      <c r="F207" s="79" t="e">
        <f>STDEV(G207:Q207)</f>
        <v>#DIV/0!</v>
      </c>
      <c r="G207" s="140"/>
      <c r="H207" s="140"/>
      <c r="I207" s="79"/>
      <c r="J207" s="140"/>
      <c r="K207" s="141"/>
    </row>
    <row r="208" spans="1:11">
      <c r="A208" s="322"/>
      <c r="D208" s="79" t="e">
        <f>E208*(1+$T$1)</f>
        <v>#DIV/0!</v>
      </c>
      <c r="E208" s="79" t="e">
        <f>AVERAGE(G208:Q208)</f>
        <v>#DIV/0!</v>
      </c>
      <c r="F208" s="79" t="e">
        <f>STDEV(G208:Q208)</f>
        <v>#DIV/0!</v>
      </c>
      <c r="G208" s="140"/>
      <c r="H208" s="140"/>
      <c r="I208" s="79"/>
      <c r="J208" s="140"/>
      <c r="K208" s="141"/>
    </row>
    <row r="209" spans="1:11">
      <c r="A209" s="322"/>
      <c r="D209" s="79" t="e">
        <f>E209*(1+$T$1)</f>
        <v>#DIV/0!</v>
      </c>
      <c r="E209" s="79" t="e">
        <f>AVERAGE(G209:Q209)</f>
        <v>#DIV/0!</v>
      </c>
      <c r="F209" s="79" t="e">
        <f>STDEV(G209:Q209)</f>
        <v>#DIV/0!</v>
      </c>
      <c r="G209" s="140"/>
      <c r="H209" s="140"/>
      <c r="I209" s="79"/>
      <c r="J209" s="140"/>
      <c r="K209" s="141"/>
    </row>
    <row r="210" spans="1:11">
      <c r="A210" s="322"/>
      <c r="D210" s="79" t="e">
        <f>E210*(1+$T$1)</f>
        <v>#DIV/0!</v>
      </c>
      <c r="E210" s="79" t="e">
        <f>AVERAGE(G210:Q210)</f>
        <v>#DIV/0!</v>
      </c>
      <c r="F210" s="79" t="e">
        <f>STDEV(G210:Q210)</f>
        <v>#DIV/0!</v>
      </c>
      <c r="G210" s="140"/>
      <c r="H210" s="140"/>
      <c r="I210" s="79"/>
      <c r="J210" s="140"/>
      <c r="K210" s="141"/>
    </row>
    <row r="211" spans="1:11">
      <c r="A211" s="322"/>
      <c r="D211" s="79" t="e">
        <f>E211*(1+$T$1)</f>
        <v>#DIV/0!</v>
      </c>
      <c r="E211" s="79" t="e">
        <f>AVERAGE(G211:Q211)</f>
        <v>#DIV/0!</v>
      </c>
      <c r="F211" s="79" t="e">
        <f>STDEV(G211:Q211)</f>
        <v>#DIV/0!</v>
      </c>
      <c r="G211" s="140"/>
      <c r="H211" s="140"/>
      <c r="I211" s="79"/>
      <c r="J211" s="140"/>
      <c r="K211" s="141"/>
    </row>
    <row r="212" spans="1:11">
      <c r="A212" s="322"/>
      <c r="D212" s="79" t="e">
        <f>E212*(1+$T$1)</f>
        <v>#DIV/0!</v>
      </c>
      <c r="E212" s="79" t="e">
        <f>AVERAGE(G212:Q212)</f>
        <v>#DIV/0!</v>
      </c>
      <c r="F212" s="79" t="e">
        <f>STDEV(G212:Q212)</f>
        <v>#DIV/0!</v>
      </c>
      <c r="G212" s="140"/>
      <c r="H212" s="140"/>
      <c r="I212" s="79"/>
      <c r="J212" s="140"/>
      <c r="K212" s="141"/>
    </row>
    <row r="213" spans="1:11">
      <c r="A213" s="322"/>
      <c r="D213" s="79" t="e">
        <f>E213*(1+$T$1)</f>
        <v>#DIV/0!</v>
      </c>
      <c r="E213" s="79" t="e">
        <f>AVERAGE(G213:Q213)</f>
        <v>#DIV/0!</v>
      </c>
      <c r="F213" s="79" t="e">
        <f>STDEV(G213:Q213)</f>
        <v>#DIV/0!</v>
      </c>
      <c r="G213" s="140"/>
      <c r="H213" s="140"/>
      <c r="I213" s="79"/>
      <c r="J213" s="140"/>
      <c r="K213" s="141"/>
    </row>
    <row r="214" spans="1:11">
      <c r="A214" s="322"/>
      <c r="D214" s="79" t="e">
        <f>E214*(1+$T$1)</f>
        <v>#DIV/0!</v>
      </c>
      <c r="E214" s="79" t="e">
        <f>AVERAGE(G214:Q214)</f>
        <v>#DIV/0!</v>
      </c>
      <c r="F214" s="79" t="e">
        <f>STDEV(G214:Q214)</f>
        <v>#DIV/0!</v>
      </c>
      <c r="G214" s="140"/>
      <c r="H214" s="140"/>
      <c r="I214" s="79"/>
      <c r="J214" s="140"/>
      <c r="K214" s="141"/>
    </row>
    <row r="215" spans="1:11">
      <c r="A215" s="322"/>
      <c r="D215" s="79" t="e">
        <f>E215*(1+$T$1)</f>
        <v>#DIV/0!</v>
      </c>
      <c r="E215" s="79" t="e">
        <f>AVERAGE(G215:Q215)</f>
        <v>#DIV/0!</v>
      </c>
      <c r="F215" s="79" t="e">
        <f>STDEV(G215:Q215)</f>
        <v>#DIV/0!</v>
      </c>
      <c r="G215" s="140"/>
      <c r="H215" s="140"/>
      <c r="I215" s="79"/>
      <c r="J215" s="140"/>
      <c r="K215" s="141"/>
    </row>
    <row r="216" spans="1:11">
      <c r="A216" s="322"/>
      <c r="D216" s="79" t="e">
        <f>E216*(1+$T$1)</f>
        <v>#DIV/0!</v>
      </c>
      <c r="E216" s="79" t="e">
        <f>AVERAGE(G216:Q216)</f>
        <v>#DIV/0!</v>
      </c>
      <c r="F216" s="79" t="e">
        <f>STDEV(G216:Q216)</f>
        <v>#DIV/0!</v>
      </c>
      <c r="G216" s="140"/>
      <c r="H216" s="140"/>
      <c r="I216" s="79"/>
      <c r="J216" s="140"/>
      <c r="K216" s="141"/>
    </row>
    <row r="217" spans="1:11">
      <c r="A217" s="322"/>
      <c r="D217" s="79" t="e">
        <f>E217*(1+$T$1)</f>
        <v>#DIV/0!</v>
      </c>
      <c r="E217" s="79" t="e">
        <f>AVERAGE(G217:Q217)</f>
        <v>#DIV/0!</v>
      </c>
      <c r="F217" s="79" t="e">
        <f>STDEV(G217:Q217)</f>
        <v>#DIV/0!</v>
      </c>
      <c r="G217" s="140"/>
      <c r="H217" s="140"/>
      <c r="I217" s="79"/>
      <c r="J217" s="140"/>
      <c r="K217" s="141"/>
    </row>
    <row r="218" spans="1:11">
      <c r="A218" s="322"/>
      <c r="D218" s="79" t="e">
        <f>E218*(1+$T$1)</f>
        <v>#DIV/0!</v>
      </c>
      <c r="E218" s="79" t="e">
        <f>AVERAGE(G218:Q218)</f>
        <v>#DIV/0!</v>
      </c>
      <c r="F218" s="79" t="e">
        <f>STDEV(G218:Q218)</f>
        <v>#DIV/0!</v>
      </c>
      <c r="G218" s="140"/>
      <c r="H218" s="140"/>
      <c r="I218" s="79"/>
      <c r="J218" s="140"/>
      <c r="K218" s="141"/>
    </row>
    <row r="219" spans="1:11">
      <c r="A219" s="322"/>
      <c r="D219" s="79" t="e">
        <f>E219*(1+$T$1)</f>
        <v>#DIV/0!</v>
      </c>
      <c r="E219" s="79" t="e">
        <f>AVERAGE(G219:Q219)</f>
        <v>#DIV/0!</v>
      </c>
      <c r="F219" s="79" t="e">
        <f>STDEV(G219:Q219)</f>
        <v>#DIV/0!</v>
      </c>
      <c r="G219" s="140"/>
      <c r="H219" s="140"/>
      <c r="I219" s="79"/>
      <c r="J219" s="140"/>
      <c r="K219" s="141"/>
    </row>
    <row r="220" spans="1:11">
      <c r="A220" s="322"/>
      <c r="D220" s="79" t="e">
        <f>E220*(1+$T$1)</f>
        <v>#DIV/0!</v>
      </c>
      <c r="E220" s="79" t="e">
        <f>AVERAGE(G220:Q220)</f>
        <v>#DIV/0!</v>
      </c>
      <c r="F220" s="79" t="e">
        <f>STDEV(G220:Q220)</f>
        <v>#DIV/0!</v>
      </c>
      <c r="G220" s="140"/>
      <c r="H220" s="140"/>
      <c r="I220" s="79"/>
      <c r="J220" s="140"/>
      <c r="K220" s="141"/>
    </row>
    <row r="221" spans="1:11">
      <c r="A221" s="322"/>
      <c r="D221" s="79" t="e">
        <f>E221*(1+$T$1)</f>
        <v>#DIV/0!</v>
      </c>
      <c r="E221" s="79" t="e">
        <f>AVERAGE(G221:Q221)</f>
        <v>#DIV/0!</v>
      </c>
      <c r="F221" s="79" t="e">
        <f>STDEV(G221:Q221)</f>
        <v>#DIV/0!</v>
      </c>
      <c r="G221" s="140"/>
      <c r="H221" s="140"/>
      <c r="I221" s="79"/>
      <c r="J221" s="140"/>
      <c r="K221" s="141"/>
    </row>
    <row r="222" spans="1:11">
      <c r="A222" s="322"/>
      <c r="D222" s="79" t="e">
        <f>E222*(1+$O$1)</f>
        <v>#DIV/0!</v>
      </c>
      <c r="E222" s="79" t="e">
        <f>AVERAGE(G222:Q222)</f>
        <v>#DIV/0!</v>
      </c>
      <c r="F222" s="79" t="e">
        <f>STDEV(G222:Q222)</f>
        <v>#DIV/0!</v>
      </c>
      <c r="G222" s="140"/>
      <c r="H222" s="140"/>
      <c r="I222" s="79"/>
      <c r="J222" s="140"/>
      <c r="K222" s="141"/>
    </row>
    <row r="223" spans="1:11">
      <c r="A223" s="322"/>
      <c r="D223" s="79" t="e">
        <f>E223*(1+$O$1)</f>
        <v>#DIV/0!</v>
      </c>
      <c r="E223" s="79" t="e">
        <f>AVERAGE(G223:Q223)</f>
        <v>#DIV/0!</v>
      </c>
      <c r="F223" s="79" t="e">
        <f>STDEV(G223:Q223)</f>
        <v>#DIV/0!</v>
      </c>
      <c r="G223" s="140"/>
      <c r="H223" s="140"/>
      <c r="I223" s="79"/>
      <c r="J223" s="140"/>
      <c r="K223" s="141"/>
    </row>
    <row r="224" spans="1:11">
      <c r="A224" s="322"/>
      <c r="D224" s="79" t="e">
        <f>E224*(1+$O$1)</f>
        <v>#DIV/0!</v>
      </c>
      <c r="E224" s="79" t="e">
        <f>AVERAGE(G224:Q224)</f>
        <v>#DIV/0!</v>
      </c>
      <c r="F224" s="79" t="e">
        <f>STDEV(G224:Q224)</f>
        <v>#DIV/0!</v>
      </c>
      <c r="G224" s="140"/>
      <c r="H224" s="140"/>
      <c r="I224" s="79"/>
      <c r="J224" s="140"/>
      <c r="K224" s="141"/>
    </row>
    <row r="225" spans="1:11">
      <c r="A225" s="322"/>
      <c r="D225" s="79" t="e">
        <f>E225*(1+$O$1)</f>
        <v>#DIV/0!</v>
      </c>
      <c r="E225" s="79" t="e">
        <f>AVERAGE(G225:Q225)</f>
        <v>#DIV/0!</v>
      </c>
      <c r="F225" s="79" t="e">
        <f>STDEV(G225:Q225)</f>
        <v>#DIV/0!</v>
      </c>
      <c r="G225" s="140"/>
      <c r="H225" s="140"/>
      <c r="I225" s="79"/>
      <c r="J225" s="140"/>
      <c r="K225" s="141"/>
    </row>
    <row r="226" spans="1:11">
      <c r="A226" s="322"/>
      <c r="D226" s="79" t="e">
        <f>E226*(1+$O$1)</f>
        <v>#DIV/0!</v>
      </c>
      <c r="E226" s="79" t="e">
        <f>AVERAGE(G226:Q226)</f>
        <v>#DIV/0!</v>
      </c>
      <c r="F226" s="79" t="e">
        <f>STDEV(G226:Q226)</f>
        <v>#DIV/0!</v>
      </c>
      <c r="G226" s="140"/>
      <c r="H226" s="140"/>
      <c r="I226" s="79"/>
      <c r="J226" s="140"/>
      <c r="K226" s="141"/>
    </row>
    <row r="227" spans="1:11">
      <c r="A227" s="322"/>
      <c r="D227" s="79" t="e">
        <f>E227*(1+$O$1)</f>
        <v>#DIV/0!</v>
      </c>
      <c r="E227" s="79" t="e">
        <f>AVERAGE(G227:Q227)</f>
        <v>#DIV/0!</v>
      </c>
      <c r="F227" s="79" t="e">
        <f>STDEV(G227:Q227)</f>
        <v>#DIV/0!</v>
      </c>
      <c r="G227" s="140"/>
      <c r="H227" s="140"/>
      <c r="I227" s="79"/>
      <c r="J227" s="140"/>
      <c r="K227" s="141"/>
    </row>
    <row r="228" spans="1:11">
      <c r="A228" s="322"/>
      <c r="D228" s="79" t="e">
        <f>E228*(1+$O$1)</f>
        <v>#DIV/0!</v>
      </c>
      <c r="E228" s="79" t="e">
        <f>AVERAGE(G228:Q228)</f>
        <v>#DIV/0!</v>
      </c>
      <c r="F228" s="79" t="e">
        <f>STDEV(G228:Q228)</f>
        <v>#DIV/0!</v>
      </c>
      <c r="G228" s="140"/>
      <c r="H228" s="140"/>
      <c r="I228" s="79"/>
      <c r="J228" s="140"/>
      <c r="K228" s="141"/>
    </row>
    <row r="229" spans="1:11">
      <c r="A229" s="322"/>
      <c r="D229" s="79" t="e">
        <f>E229*(1+$O$1)</f>
        <v>#DIV/0!</v>
      </c>
      <c r="E229" s="79" t="e">
        <f>AVERAGE(G229:Q229)</f>
        <v>#DIV/0!</v>
      </c>
      <c r="F229" s="79" t="e">
        <f>STDEV(G229:Q229)</f>
        <v>#DIV/0!</v>
      </c>
      <c r="G229" s="140"/>
      <c r="H229" s="140"/>
      <c r="I229" s="79"/>
      <c r="J229" s="140"/>
      <c r="K229" s="141"/>
    </row>
    <row r="230" spans="1:11">
      <c r="A230" s="322"/>
      <c r="D230" s="79" t="e">
        <f>E230*(1+$O$1)</f>
        <v>#DIV/0!</v>
      </c>
      <c r="E230" s="79" t="e">
        <f>AVERAGE(G230:Q230)</f>
        <v>#DIV/0!</v>
      </c>
      <c r="F230" s="79" t="e">
        <f>STDEV(G230:Q230)</f>
        <v>#DIV/0!</v>
      </c>
      <c r="G230" s="140"/>
      <c r="H230" s="140"/>
      <c r="I230" s="79"/>
      <c r="J230" s="140"/>
      <c r="K230" s="141"/>
    </row>
    <row r="231" spans="1:11">
      <c r="A231" s="322"/>
      <c r="D231" s="79" t="e">
        <f>E231*(1+$O$1)</f>
        <v>#DIV/0!</v>
      </c>
      <c r="E231" s="79" t="e">
        <f>AVERAGE(G231:Q231)</f>
        <v>#DIV/0!</v>
      </c>
      <c r="F231" s="79" t="e">
        <f>STDEV(G231:Q231)</f>
        <v>#DIV/0!</v>
      </c>
      <c r="G231" s="140"/>
      <c r="H231" s="140"/>
      <c r="I231" s="79"/>
      <c r="J231" s="140"/>
      <c r="K231" s="141"/>
    </row>
    <row r="232" spans="1:11">
      <c r="A232" s="322"/>
      <c r="D232" s="79" t="e">
        <f>E232*(1+$O$1)</f>
        <v>#DIV/0!</v>
      </c>
      <c r="E232" s="79" t="e">
        <f>AVERAGE(G232:Q232)</f>
        <v>#DIV/0!</v>
      </c>
      <c r="F232" s="79" t="e">
        <f>STDEV(G232:Q232)</f>
        <v>#DIV/0!</v>
      </c>
      <c r="G232" s="140"/>
      <c r="H232" s="140"/>
      <c r="I232" s="79"/>
      <c r="J232" s="140"/>
      <c r="K232" s="141"/>
    </row>
    <row r="233" spans="1:11">
      <c r="A233" s="322"/>
      <c r="D233" s="79" t="e">
        <f>E233*(1+$O$1)</f>
        <v>#DIV/0!</v>
      </c>
      <c r="E233" s="79" t="e">
        <f>AVERAGE(G233:Q233)</f>
        <v>#DIV/0!</v>
      </c>
      <c r="F233" s="79" t="e">
        <f>STDEV(G233:Q233)</f>
        <v>#DIV/0!</v>
      </c>
      <c r="G233" s="140"/>
      <c r="H233" s="140"/>
      <c r="I233" s="79"/>
      <c r="J233" s="140"/>
      <c r="K233" s="141"/>
    </row>
    <row r="234" spans="1:11">
      <c r="A234" s="322"/>
      <c r="D234" s="79" t="e">
        <f>E234*(1+$O$1)</f>
        <v>#DIV/0!</v>
      </c>
      <c r="E234" s="79" t="e">
        <f>AVERAGE(G234:Q234)</f>
        <v>#DIV/0!</v>
      </c>
      <c r="F234" s="79" t="e">
        <f>STDEV(G234:Q234)</f>
        <v>#DIV/0!</v>
      </c>
      <c r="G234" s="140"/>
      <c r="H234" s="140"/>
      <c r="I234" s="79"/>
      <c r="J234" s="140"/>
      <c r="K234" s="141"/>
    </row>
    <row r="235" spans="1:11">
      <c r="A235" s="322"/>
      <c r="D235" s="79" t="e">
        <f>E235*(1+$O$1)</f>
        <v>#DIV/0!</v>
      </c>
      <c r="E235" s="140" t="e">
        <f>AVERAGE(G235:Q235)</f>
        <v>#DIV/0!</v>
      </c>
      <c r="F235" s="140" t="e">
        <f>STDEV(G235:Q235)</f>
        <v>#DIV/0!</v>
      </c>
      <c r="G235" s="140"/>
      <c r="H235" s="140"/>
      <c r="I235" s="79"/>
      <c r="J235" s="140"/>
      <c r="K235" s="141"/>
    </row>
    <row r="236" spans="1:11">
      <c r="A236" s="322"/>
      <c r="D236" s="79" t="e">
        <f>E236*(1+$O$1)</f>
        <v>#DIV/0!</v>
      </c>
      <c r="E236" s="140" t="e">
        <f>AVERAGE(G236:Q236)</f>
        <v>#DIV/0!</v>
      </c>
      <c r="F236" s="140" t="e">
        <f>STDEV(G236:Q236)</f>
        <v>#DIV/0!</v>
      </c>
      <c r="G236" s="140"/>
      <c r="H236" s="140"/>
      <c r="I236" s="79"/>
      <c r="J236" s="140"/>
      <c r="K236" s="141"/>
    </row>
    <row r="237" spans="1:11">
      <c r="A237" s="322"/>
      <c r="D237" s="79" t="e">
        <f>E237*(1+$O$1)</f>
        <v>#DIV/0!</v>
      </c>
      <c r="E237" s="140" t="e">
        <f>AVERAGE(G237:Q237)</f>
        <v>#DIV/0!</v>
      </c>
      <c r="F237" s="140" t="e">
        <f>STDEV(G237:Q237)</f>
        <v>#DIV/0!</v>
      </c>
      <c r="G237" s="140"/>
      <c r="H237" s="140"/>
      <c r="I237" s="79"/>
      <c r="J237" s="140"/>
      <c r="K237" s="141"/>
    </row>
    <row r="238" spans="1:11">
      <c r="A238" s="322"/>
      <c r="D238" s="79" t="e">
        <f>E238*(1+$O$1)</f>
        <v>#DIV/0!</v>
      </c>
      <c r="E238" s="140" t="e">
        <f>AVERAGE(G238:Q238)</f>
        <v>#DIV/0!</v>
      </c>
      <c r="F238" s="140" t="e">
        <f>STDEV(G238:Q238)</f>
        <v>#DIV/0!</v>
      </c>
      <c r="G238" s="140"/>
      <c r="H238" s="140"/>
      <c r="I238" s="79"/>
      <c r="J238" s="140"/>
      <c r="K238" s="141"/>
    </row>
    <row r="239" spans="1:11">
      <c r="A239" s="322"/>
      <c r="D239" s="79" t="e">
        <f>E239*(1+$O$1)</f>
        <v>#DIV/0!</v>
      </c>
      <c r="E239" s="140" t="e">
        <f>AVERAGE(G239:Q239)</f>
        <v>#DIV/0!</v>
      </c>
      <c r="F239" s="140" t="e">
        <f>STDEV(G239:Q239)</f>
        <v>#DIV/0!</v>
      </c>
      <c r="G239" s="140"/>
      <c r="H239" s="140"/>
      <c r="I239" s="79"/>
      <c r="J239" s="140"/>
      <c r="K239" s="141"/>
    </row>
    <row r="240" spans="1:11">
      <c r="A240" s="322"/>
      <c r="D240" s="79" t="e">
        <f>E240*(1+$O$1)</f>
        <v>#DIV/0!</v>
      </c>
      <c r="E240" s="140" t="e">
        <f>AVERAGE(G240:Q240)</f>
        <v>#DIV/0!</v>
      </c>
      <c r="F240" s="140" t="e">
        <f>STDEV(G240:Q240)</f>
        <v>#DIV/0!</v>
      </c>
      <c r="G240" s="140"/>
      <c r="H240" s="140"/>
      <c r="I240" s="79"/>
      <c r="J240" s="140"/>
      <c r="K240" s="141"/>
    </row>
    <row r="241" spans="1:11">
      <c r="A241" s="322"/>
      <c r="D241" s="79" t="e">
        <f>E241*(1+$O$1)</f>
        <v>#DIV/0!</v>
      </c>
      <c r="E241" s="140" t="e">
        <f>AVERAGE(G241:Q241)</f>
        <v>#DIV/0!</v>
      </c>
      <c r="F241" s="140" t="e">
        <f>STDEV(G241:Q241)</f>
        <v>#DIV/0!</v>
      </c>
      <c r="G241" s="140"/>
      <c r="H241" s="140"/>
      <c r="I241" s="79"/>
      <c r="J241" s="140"/>
      <c r="K241" s="141"/>
    </row>
    <row r="242" spans="1:11">
      <c r="A242" s="322"/>
      <c r="D242" s="79" t="e">
        <f>E242*(1+$O$1)</f>
        <v>#DIV/0!</v>
      </c>
      <c r="E242" s="140" t="e">
        <f>AVERAGE(G242:Q242)</f>
        <v>#DIV/0!</v>
      </c>
      <c r="F242" s="140" t="e">
        <f>STDEV(G242:Q242)</f>
        <v>#DIV/0!</v>
      </c>
      <c r="G242" s="140"/>
      <c r="H242" s="140"/>
      <c r="I242" s="79"/>
      <c r="J242" s="140"/>
      <c r="K242" s="141"/>
    </row>
    <row r="243" spans="1:11">
      <c r="A243" s="322"/>
      <c r="D243" s="79" t="e">
        <f>E243*(1+$O$1)</f>
        <v>#DIV/0!</v>
      </c>
      <c r="E243" s="140" t="e">
        <f>AVERAGE(G243:Q243)</f>
        <v>#DIV/0!</v>
      </c>
      <c r="F243" s="140" t="e">
        <f>STDEV(G243:Q243)</f>
        <v>#DIV/0!</v>
      </c>
      <c r="G243" s="140"/>
      <c r="H243" s="140"/>
      <c r="I243" s="79"/>
      <c r="J243" s="140"/>
      <c r="K243" s="141"/>
    </row>
    <row r="244" spans="1:11">
      <c r="A244" s="322"/>
      <c r="D244" s="79" t="e">
        <f>E244*(1+$O$1)</f>
        <v>#DIV/0!</v>
      </c>
      <c r="E244" s="140" t="e">
        <f>AVERAGE(G244:Q244)</f>
        <v>#DIV/0!</v>
      </c>
      <c r="F244" s="140" t="e">
        <f>STDEV(G244:Q244)</f>
        <v>#DIV/0!</v>
      </c>
      <c r="G244" s="140"/>
      <c r="H244" s="140"/>
      <c r="I244" s="79"/>
      <c r="J244" s="140"/>
      <c r="K244" s="141"/>
    </row>
    <row r="245" spans="1:11">
      <c r="A245" s="322"/>
      <c r="D245" s="79" t="e">
        <f>E245*(1+$O$1)</f>
        <v>#DIV/0!</v>
      </c>
      <c r="E245" s="140" t="e">
        <f>AVERAGE(G245:Q245)</f>
        <v>#DIV/0!</v>
      </c>
      <c r="F245" s="140" t="e">
        <f>STDEV(G245:Q245)</f>
        <v>#DIV/0!</v>
      </c>
      <c r="G245" s="140"/>
      <c r="H245" s="140"/>
      <c r="I245" s="79"/>
      <c r="J245" s="140"/>
      <c r="K245" s="141"/>
    </row>
    <row r="246" spans="1:11">
      <c r="D246" s="79" t="e">
        <f>E246*(1+$O$1)</f>
        <v>#DIV/0!</v>
      </c>
      <c r="E246" s="140" t="e">
        <f>AVERAGE(G246:Q246)</f>
        <v>#DIV/0!</v>
      </c>
      <c r="F246" s="140" t="e">
        <f>STDEV(G246:Q246)</f>
        <v>#DIV/0!</v>
      </c>
      <c r="G246" s="140"/>
      <c r="H246" s="140"/>
      <c r="I246" s="140"/>
      <c r="J246" s="140"/>
      <c r="K246" s="141"/>
    </row>
    <row r="247" spans="1:11">
      <c r="A247" s="322"/>
      <c r="D247" s="79" t="e">
        <f>E247*(1+$O$1)</f>
        <v>#DIV/0!</v>
      </c>
      <c r="E247" s="140" t="e">
        <f>AVERAGE(G247:Q247)</f>
        <v>#DIV/0!</v>
      </c>
      <c r="F247" s="140" t="e">
        <f>STDEV(G247:Q247)</f>
        <v>#DIV/0!</v>
      </c>
      <c r="G247" s="140"/>
      <c r="H247" s="140"/>
      <c r="I247" s="79"/>
      <c r="J247" s="140"/>
      <c r="K247" s="141"/>
    </row>
    <row r="248" spans="1:11">
      <c r="A248" s="322"/>
      <c r="D248" s="79" t="e">
        <f>E248*(1+$O$1)</f>
        <v>#DIV/0!</v>
      </c>
      <c r="E248" s="140" t="e">
        <f>AVERAGE(G248:Q248)</f>
        <v>#DIV/0!</v>
      </c>
      <c r="F248" s="140" t="e">
        <f>STDEV(G248:Q248)</f>
        <v>#DIV/0!</v>
      </c>
      <c r="G248" s="140"/>
      <c r="H248" s="140"/>
      <c r="I248" s="79"/>
      <c r="J248" s="140"/>
      <c r="K248" s="141"/>
    </row>
    <row r="249" spans="1:11">
      <c r="A249" s="322"/>
      <c r="D249" s="79" t="e">
        <f>E249*(1+$O$1)</f>
        <v>#DIV/0!</v>
      </c>
      <c r="E249" s="140" t="e">
        <f>AVERAGE(G249:Q249)</f>
        <v>#DIV/0!</v>
      </c>
      <c r="F249" s="140" t="e">
        <f>STDEV(G249:Q249)</f>
        <v>#DIV/0!</v>
      </c>
      <c r="G249" s="140"/>
      <c r="H249" s="140"/>
      <c r="I249" s="79"/>
      <c r="J249" s="140"/>
      <c r="K249" s="141"/>
    </row>
    <row r="250" spans="1:11">
      <c r="A250" s="322"/>
      <c r="D250" s="79" t="e">
        <f>E250*(1+$O$1)</f>
        <v>#DIV/0!</v>
      </c>
      <c r="E250" s="140" t="e">
        <f>AVERAGE(G250:Q250)</f>
        <v>#DIV/0!</v>
      </c>
      <c r="F250" s="140" t="e">
        <f>STDEV(G250:Q250)</f>
        <v>#DIV/0!</v>
      </c>
      <c r="G250" s="140"/>
      <c r="H250" s="140"/>
      <c r="I250" s="79"/>
      <c r="J250" s="140"/>
      <c r="K250" s="141"/>
    </row>
    <row r="251" spans="1:11">
      <c r="A251" s="322"/>
      <c r="D251" s="79" t="e">
        <f>E251*(1+$O$1)</f>
        <v>#DIV/0!</v>
      </c>
      <c r="E251" s="140" t="e">
        <f>AVERAGE(G251:Q251)</f>
        <v>#DIV/0!</v>
      </c>
      <c r="F251" s="140" t="e">
        <f>STDEV(G251:Q251)</f>
        <v>#DIV/0!</v>
      </c>
      <c r="G251" s="140"/>
      <c r="H251" s="140"/>
      <c r="I251" s="79"/>
      <c r="J251" s="140"/>
      <c r="K251" s="141"/>
    </row>
    <row r="252" spans="1:11">
      <c r="A252" s="322"/>
      <c r="D252" s="79" t="e">
        <f>E252*(1+$O$1)</f>
        <v>#DIV/0!</v>
      </c>
      <c r="E252" s="140" t="e">
        <f>AVERAGE(G252:Q252)</f>
        <v>#DIV/0!</v>
      </c>
      <c r="F252" s="140" t="e">
        <f>STDEV(G252:Q252)</f>
        <v>#DIV/0!</v>
      </c>
      <c r="G252" s="140"/>
      <c r="H252" s="140"/>
      <c r="I252" s="79"/>
      <c r="J252" s="140"/>
      <c r="K252" s="141"/>
    </row>
    <row r="253" spans="1:11">
      <c r="A253" s="322"/>
      <c r="D253" s="79" t="e">
        <f>E253*(1+$O$1)</f>
        <v>#DIV/0!</v>
      </c>
      <c r="E253" s="140" t="e">
        <f>AVERAGE(G253:Q253)</f>
        <v>#DIV/0!</v>
      </c>
      <c r="F253" s="140" t="e">
        <f>STDEV(G253:Q253)</f>
        <v>#DIV/0!</v>
      </c>
      <c r="G253" s="140"/>
      <c r="H253" s="140"/>
      <c r="I253" s="79"/>
      <c r="J253" s="140"/>
      <c r="K253" s="141"/>
    </row>
    <row r="254" spans="1:11">
      <c r="A254" s="322"/>
      <c r="D254" s="79" t="e">
        <f>E254*(1+$O$1)</f>
        <v>#DIV/0!</v>
      </c>
      <c r="E254" s="140" t="e">
        <f>AVERAGE(G254:Q254)</f>
        <v>#DIV/0!</v>
      </c>
      <c r="F254" s="140" t="e">
        <f>STDEV(G254:Q254)</f>
        <v>#DIV/0!</v>
      </c>
      <c r="G254" s="140"/>
      <c r="H254" s="140"/>
      <c r="I254" s="79"/>
      <c r="J254" s="140"/>
      <c r="K254" s="141"/>
    </row>
    <row r="255" spans="1:11">
      <c r="A255" s="322"/>
      <c r="D255" s="79" t="e">
        <f>E255*(1+$O$1)</f>
        <v>#DIV/0!</v>
      </c>
      <c r="E255" s="140" t="e">
        <f>AVERAGE(G255:Q255)</f>
        <v>#DIV/0!</v>
      </c>
      <c r="F255" s="140" t="e">
        <f>STDEV(G255:Q255)</f>
        <v>#DIV/0!</v>
      </c>
      <c r="G255" s="140"/>
      <c r="H255" s="140"/>
      <c r="I255" s="79"/>
      <c r="J255" s="140"/>
      <c r="K255" s="141"/>
    </row>
    <row r="256" spans="1:11">
      <c r="A256" s="322"/>
      <c r="D256" s="79" t="e">
        <f>E256*(1+$O$1)</f>
        <v>#DIV/0!</v>
      </c>
      <c r="E256" s="140" t="e">
        <f>AVERAGE(G256:Q256)</f>
        <v>#DIV/0!</v>
      </c>
      <c r="F256" s="140" t="e">
        <f>STDEV(G256:Q256)</f>
        <v>#DIV/0!</v>
      </c>
      <c r="G256" s="140"/>
      <c r="H256" s="140"/>
      <c r="I256" s="79"/>
      <c r="J256" s="140"/>
      <c r="K256" s="141"/>
    </row>
    <row r="257" spans="1:11">
      <c r="A257" s="322"/>
      <c r="D257" s="79" t="e">
        <f>E257*(1+$O$1)</f>
        <v>#DIV/0!</v>
      </c>
      <c r="E257" s="140" t="e">
        <f>AVERAGE(G257:Q257)</f>
        <v>#DIV/0!</v>
      </c>
      <c r="F257" s="140" t="e">
        <f>STDEV(G257:Q257)</f>
        <v>#DIV/0!</v>
      </c>
      <c r="G257" s="140"/>
      <c r="H257" s="140"/>
      <c r="I257" s="79"/>
      <c r="J257" s="140"/>
      <c r="K257" s="141"/>
    </row>
    <row r="258" spans="1:11">
      <c r="A258" s="322"/>
      <c r="D258" s="79" t="e">
        <f>E258*(1+$O$1)</f>
        <v>#DIV/0!</v>
      </c>
      <c r="E258" s="140" t="e">
        <f>AVERAGE(G258:Q258)</f>
        <v>#DIV/0!</v>
      </c>
      <c r="F258" s="140" t="e">
        <f>STDEV(G258:Q258)</f>
        <v>#DIV/0!</v>
      </c>
      <c r="G258" s="140"/>
      <c r="H258" s="140"/>
      <c r="I258" s="79"/>
      <c r="J258" s="140"/>
      <c r="K258" s="141"/>
    </row>
    <row r="259" spans="1:11">
      <c r="A259" s="322"/>
      <c r="D259" s="79" t="e">
        <f>E259*(1+$O$1)</f>
        <v>#DIV/0!</v>
      </c>
      <c r="E259" s="140" t="e">
        <f>AVERAGE(G259:Q259)</f>
        <v>#DIV/0!</v>
      </c>
      <c r="F259" s="140" t="e">
        <f>STDEV(G259:Q259)</f>
        <v>#DIV/0!</v>
      </c>
      <c r="G259" s="140"/>
      <c r="H259" s="140"/>
      <c r="I259" s="79"/>
      <c r="J259" s="140"/>
      <c r="K259" s="141"/>
    </row>
    <row r="260" spans="1:11">
      <c r="A260" s="322"/>
      <c r="D260" s="79" t="e">
        <f>E260*(1+$O$1)</f>
        <v>#DIV/0!</v>
      </c>
      <c r="E260" s="140" t="e">
        <f>AVERAGE(G260:Q260)</f>
        <v>#DIV/0!</v>
      </c>
      <c r="F260" s="140" t="e">
        <f>STDEV(G260:Q260)</f>
        <v>#DIV/0!</v>
      </c>
      <c r="G260" s="140"/>
      <c r="H260" s="140"/>
      <c r="I260" s="79"/>
      <c r="J260" s="140"/>
      <c r="K260" s="141"/>
    </row>
    <row r="261" spans="1:11">
      <c r="A261" s="322"/>
      <c r="D261" s="79" t="e">
        <f>E261*(1+$O$1)</f>
        <v>#DIV/0!</v>
      </c>
      <c r="E261" s="140" t="e">
        <f>AVERAGE(G261:Q261)</f>
        <v>#DIV/0!</v>
      </c>
      <c r="F261" s="140" t="e">
        <f>STDEV(G261:Q261)</f>
        <v>#DIV/0!</v>
      </c>
      <c r="G261" s="140"/>
      <c r="H261" s="140"/>
      <c r="I261" s="79"/>
      <c r="J261" s="140"/>
      <c r="K261" s="141"/>
    </row>
    <row r="262" spans="1:11">
      <c r="A262" s="322"/>
      <c r="D262" s="79" t="e">
        <f>E262*(1+$O$1)</f>
        <v>#DIV/0!</v>
      </c>
      <c r="E262" s="140" t="e">
        <f>AVERAGE(G262:Q262)</f>
        <v>#DIV/0!</v>
      </c>
      <c r="F262" s="140" t="e">
        <f>STDEV(G262:Q262)</f>
        <v>#DIV/0!</v>
      </c>
      <c r="G262" s="140"/>
      <c r="H262" s="140"/>
      <c r="I262" s="79"/>
      <c r="J262" s="140"/>
      <c r="K262" s="141"/>
    </row>
    <row r="263" spans="1:11">
      <c r="A263" s="322"/>
      <c r="D263" s="79" t="e">
        <f>E263*(1+$O$1)</f>
        <v>#DIV/0!</v>
      </c>
      <c r="E263" s="140" t="e">
        <f>AVERAGE(G263:Q263)</f>
        <v>#DIV/0!</v>
      </c>
      <c r="F263" s="140" t="e">
        <f>STDEV(G263:Q263)</f>
        <v>#DIV/0!</v>
      </c>
      <c r="G263" s="140"/>
      <c r="H263" s="140"/>
      <c r="I263" s="79"/>
      <c r="J263" s="140"/>
      <c r="K263" s="141"/>
    </row>
    <row r="264" spans="1:11">
      <c r="A264" s="322"/>
      <c r="D264" s="79" t="e">
        <f>E264*(1+$O$1)</f>
        <v>#DIV/0!</v>
      </c>
      <c r="E264" s="140" t="e">
        <f>AVERAGE(G264:Q264)</f>
        <v>#DIV/0!</v>
      </c>
      <c r="F264" s="140" t="e">
        <f>STDEV(G264:Q264)</f>
        <v>#DIV/0!</v>
      </c>
      <c r="G264" s="140"/>
      <c r="H264" s="140"/>
      <c r="I264" s="79"/>
      <c r="J264" s="140"/>
      <c r="K264" s="141"/>
    </row>
    <row r="265" spans="1:11">
      <c r="A265" s="322"/>
      <c r="D265" s="79" t="e">
        <f>E265*(1+$O$1)</f>
        <v>#DIV/0!</v>
      </c>
      <c r="E265" s="140" t="e">
        <f>AVERAGE(G265:Q265)</f>
        <v>#DIV/0!</v>
      </c>
      <c r="F265" s="140" t="e">
        <f>STDEV(G265:Q265)</f>
        <v>#DIV/0!</v>
      </c>
      <c r="G265" s="140"/>
      <c r="H265" s="140"/>
      <c r="I265" s="79"/>
      <c r="J265" s="140"/>
      <c r="K265" s="141"/>
    </row>
    <row r="266" spans="1:11">
      <c r="A266" s="322"/>
      <c r="D266" s="79" t="e">
        <f>E266*(1+$O$1)</f>
        <v>#DIV/0!</v>
      </c>
      <c r="E266" s="140" t="e">
        <f>AVERAGE(G266:Q266)</f>
        <v>#DIV/0!</v>
      </c>
      <c r="F266" s="140" t="e">
        <f>STDEV(G266:Q266)</f>
        <v>#DIV/0!</v>
      </c>
      <c r="G266" s="140"/>
      <c r="H266" s="140"/>
      <c r="I266" s="79"/>
      <c r="J266" s="140"/>
      <c r="K266" s="141"/>
    </row>
    <row r="267" spans="1:11">
      <c r="A267" s="322"/>
      <c r="D267" s="79" t="e">
        <f>E267*(1+$O$1)</f>
        <v>#DIV/0!</v>
      </c>
      <c r="E267" s="140" t="e">
        <f>AVERAGE(G267:Q267)</f>
        <v>#DIV/0!</v>
      </c>
      <c r="F267" s="140" t="e">
        <f>STDEV(G267:Q267)</f>
        <v>#DIV/0!</v>
      </c>
      <c r="G267" s="140"/>
      <c r="H267" s="140"/>
      <c r="I267" s="79"/>
      <c r="J267" s="140"/>
      <c r="K267" s="141"/>
    </row>
    <row r="268" spans="1:11">
      <c r="A268" s="322"/>
      <c r="D268" s="79" t="e">
        <f>E268*(1+$O$1)</f>
        <v>#DIV/0!</v>
      </c>
      <c r="E268" s="140" t="e">
        <f>AVERAGE(G268:Q268)</f>
        <v>#DIV/0!</v>
      </c>
      <c r="F268" s="140" t="e">
        <f>STDEV(G268:Q268)</f>
        <v>#DIV/0!</v>
      </c>
      <c r="G268" s="140"/>
      <c r="H268" s="140"/>
      <c r="I268" s="79"/>
      <c r="J268" s="140"/>
      <c r="K268" s="141"/>
    </row>
    <row r="269" spans="1:11">
      <c r="A269" s="322"/>
      <c r="D269" s="79" t="e">
        <f>E269*(1+$O$1)</f>
        <v>#DIV/0!</v>
      </c>
      <c r="E269" s="140" t="e">
        <f>AVERAGE(G269:Q269)</f>
        <v>#DIV/0!</v>
      </c>
      <c r="F269" s="140" t="e">
        <f>STDEV(G269:Q269)</f>
        <v>#DIV/0!</v>
      </c>
      <c r="G269" s="140"/>
      <c r="H269" s="140"/>
      <c r="I269" s="79"/>
      <c r="J269" s="140"/>
      <c r="K269" s="141"/>
    </row>
    <row r="270" spans="1:11">
      <c r="A270" s="322"/>
      <c r="D270" s="79" t="e">
        <f>E270*(1+$O$1)</f>
        <v>#DIV/0!</v>
      </c>
      <c r="E270" s="140" t="e">
        <f>AVERAGE(G270:Q270)</f>
        <v>#DIV/0!</v>
      </c>
      <c r="F270" s="140" t="e">
        <f>STDEV(G270:Q270)</f>
        <v>#DIV/0!</v>
      </c>
      <c r="G270" s="140"/>
      <c r="H270" s="140"/>
      <c r="I270" s="79"/>
      <c r="J270" s="140"/>
      <c r="K270" s="141"/>
    </row>
    <row r="271" spans="1:11">
      <c r="A271" s="322"/>
      <c r="D271" s="79" t="e">
        <f>E271*(1+$O$1)</f>
        <v>#DIV/0!</v>
      </c>
      <c r="E271" s="140" t="e">
        <f>AVERAGE(G271:Q271)</f>
        <v>#DIV/0!</v>
      </c>
      <c r="F271" s="140" t="e">
        <f>STDEV(G271:Q271)</f>
        <v>#DIV/0!</v>
      </c>
      <c r="G271" s="140"/>
      <c r="H271" s="140"/>
      <c r="I271" s="79"/>
      <c r="J271" s="140"/>
      <c r="K271" s="141"/>
    </row>
    <row r="272" spans="1:11">
      <c r="A272" s="322"/>
      <c r="D272" s="79" t="e">
        <f>E272*(1+$O$1)</f>
        <v>#DIV/0!</v>
      </c>
      <c r="E272" s="140" t="e">
        <f>AVERAGE(G272:Q272)</f>
        <v>#DIV/0!</v>
      </c>
      <c r="F272" s="140" t="e">
        <f>STDEV(G272:Q272)</f>
        <v>#DIV/0!</v>
      </c>
      <c r="G272" s="140"/>
      <c r="H272" s="140"/>
      <c r="I272" s="79"/>
      <c r="J272" s="140"/>
      <c r="K272" s="141"/>
    </row>
    <row r="273" spans="1:11">
      <c r="A273" s="322"/>
      <c r="D273" s="79" t="e">
        <f>E273*(1+$O$1)</f>
        <v>#DIV/0!</v>
      </c>
      <c r="E273" s="140" t="e">
        <f>AVERAGE(G273:Q273)</f>
        <v>#DIV/0!</v>
      </c>
      <c r="F273" s="140" t="e">
        <f>STDEV(G273:Q273)</f>
        <v>#DIV/0!</v>
      </c>
      <c r="G273" s="140"/>
      <c r="H273" s="140"/>
      <c r="I273" s="79"/>
      <c r="J273" s="140"/>
      <c r="K273" s="141"/>
    </row>
    <row r="274" spans="1:11">
      <c r="A274" s="322"/>
      <c r="D274" s="79" t="e">
        <f>E274*(1+$O$1)</f>
        <v>#DIV/0!</v>
      </c>
      <c r="E274" s="140" t="e">
        <f>AVERAGE(G274:Q274)</f>
        <v>#DIV/0!</v>
      </c>
      <c r="F274" s="140" t="e">
        <f>STDEV(G274:Q274)</f>
        <v>#DIV/0!</v>
      </c>
      <c r="G274" s="140"/>
      <c r="H274" s="140"/>
      <c r="I274" s="79"/>
      <c r="J274" s="140"/>
      <c r="K274" s="141"/>
    </row>
    <row r="275" spans="1:11">
      <c r="A275" s="322"/>
      <c r="D275" s="79" t="e">
        <f>E275*(1+$O$1)</f>
        <v>#DIV/0!</v>
      </c>
      <c r="E275" s="140" t="e">
        <f>AVERAGE(G275:Q275)</f>
        <v>#DIV/0!</v>
      </c>
      <c r="F275" s="140" t="e">
        <f>STDEV(G275:Q275)</f>
        <v>#DIV/0!</v>
      </c>
      <c r="G275" s="140"/>
      <c r="H275" s="140"/>
      <c r="I275" s="79"/>
      <c r="J275" s="140"/>
      <c r="K275" s="141"/>
    </row>
    <row r="276" spans="1:11">
      <c r="A276" s="322"/>
      <c r="D276" s="79" t="e">
        <f>E276*(1+$O$1)</f>
        <v>#DIV/0!</v>
      </c>
      <c r="E276" s="140" t="e">
        <f>AVERAGE(G276:Q276)</f>
        <v>#DIV/0!</v>
      </c>
      <c r="F276" s="140" t="e">
        <f>STDEV(G276:Q276)</f>
        <v>#DIV/0!</v>
      </c>
      <c r="G276" s="140"/>
      <c r="H276" s="140"/>
      <c r="I276" s="79"/>
      <c r="J276" s="140"/>
      <c r="K276" s="141"/>
    </row>
    <row r="277" spans="1:11">
      <c r="A277" s="322"/>
      <c r="D277" s="79" t="e">
        <f>E277*(1+$O$1)</f>
        <v>#DIV/0!</v>
      </c>
      <c r="E277" s="140" t="e">
        <f>AVERAGE(G277:Q277)</f>
        <v>#DIV/0!</v>
      </c>
      <c r="F277" s="140" t="e">
        <f>STDEV(G277:Q277)</f>
        <v>#DIV/0!</v>
      </c>
      <c r="G277" s="140"/>
      <c r="H277" s="140"/>
      <c r="I277" s="79"/>
      <c r="J277" s="140"/>
      <c r="K277" s="141"/>
    </row>
    <row r="278" spans="1:11">
      <c r="D278" s="79" t="e">
        <f>E278*(1+$O$1)</f>
        <v>#DIV/0!</v>
      </c>
      <c r="E278" s="140" t="e">
        <f>AVERAGE(G278:Q278)</f>
        <v>#DIV/0!</v>
      </c>
      <c r="F278" s="140" t="e">
        <f>STDEV(G278:Q278)</f>
        <v>#DIV/0!</v>
      </c>
      <c r="G278" s="140"/>
      <c r="H278" s="140"/>
      <c r="I278" s="79"/>
      <c r="J278" s="140"/>
      <c r="K278" s="141"/>
    </row>
    <row r="279" spans="1:11">
      <c r="D279" s="79" t="e">
        <f>E279*(1+$O$1)</f>
        <v>#DIV/0!</v>
      </c>
      <c r="E279" s="140" t="e">
        <f>AVERAGE(G279:Q279)</f>
        <v>#DIV/0!</v>
      </c>
      <c r="F279" s="140" t="e">
        <f>STDEV(G279:Q279)</f>
        <v>#DIV/0!</v>
      </c>
      <c r="G279" s="140"/>
      <c r="H279" s="140"/>
      <c r="I279" s="140"/>
      <c r="J279" s="140"/>
      <c r="K279" s="141"/>
    </row>
    <row r="280" spans="1:11">
      <c r="D280" s="79" t="e">
        <f>E280*(1+$O$1)</f>
        <v>#DIV/0!</v>
      </c>
      <c r="E280" s="140" t="e">
        <f>AVERAGE(G280:Q280)</f>
        <v>#DIV/0!</v>
      </c>
      <c r="F280" s="140" t="e">
        <f>STDEV(G280:Q280)</f>
        <v>#DIV/0!</v>
      </c>
      <c r="G280" s="140"/>
      <c r="H280" s="140"/>
      <c r="I280" s="140"/>
      <c r="J280" s="140"/>
      <c r="K280" s="141"/>
    </row>
    <row r="281" spans="1:11">
      <c r="D281" s="79" t="e">
        <f>E281*(1+$O$1)</f>
        <v>#DIV/0!</v>
      </c>
      <c r="E281" s="140" t="e">
        <f>AVERAGE(G281:Q281)</f>
        <v>#DIV/0!</v>
      </c>
      <c r="F281" s="140" t="e">
        <f>STDEV(G281:Q281)</f>
        <v>#DIV/0!</v>
      </c>
      <c r="G281" s="140"/>
      <c r="H281" s="140"/>
      <c r="I281" s="140"/>
      <c r="J281" s="140"/>
      <c r="K281" s="141"/>
    </row>
    <row r="282" spans="1:11">
      <c r="A282" s="322"/>
      <c r="D282" s="79" t="e">
        <f>E282*(1+$O$1)</f>
        <v>#DIV/0!</v>
      </c>
      <c r="E282" s="140" t="e">
        <f>AVERAGE(G282:Q282)</f>
        <v>#DIV/0!</v>
      </c>
      <c r="F282" s="140" t="e">
        <f>STDEV(G282:Q282)</f>
        <v>#DIV/0!</v>
      </c>
      <c r="G282" s="140"/>
      <c r="H282" s="140"/>
      <c r="I282" s="79"/>
      <c r="J282" s="140"/>
      <c r="K282" s="141"/>
    </row>
    <row r="283" spans="1:11">
      <c r="D283" s="79" t="e">
        <f>E283*(1+$O$1)</f>
        <v>#DIV/0!</v>
      </c>
      <c r="E283" s="140" t="e">
        <f>AVERAGE(G283:Q283)</f>
        <v>#DIV/0!</v>
      </c>
      <c r="F283" s="140" t="e">
        <f>STDEV(G283:Q283)</f>
        <v>#DIV/0!</v>
      </c>
      <c r="G283" s="140"/>
      <c r="H283" s="140"/>
      <c r="I283" s="140"/>
      <c r="J283" s="140"/>
      <c r="K283" s="141"/>
    </row>
    <row r="284" spans="1:11">
      <c r="D284" s="79" t="e">
        <f>E284*(1+$O$1)</f>
        <v>#DIV/0!</v>
      </c>
      <c r="E284" s="140" t="e">
        <f>AVERAGE(G284:Q284)</f>
        <v>#DIV/0!</v>
      </c>
      <c r="F284" s="140" t="e">
        <f>STDEV(G284:Q284)</f>
        <v>#DIV/0!</v>
      </c>
      <c r="G284" s="140"/>
      <c r="H284" s="140"/>
      <c r="I284" s="140"/>
      <c r="J284" s="140"/>
      <c r="K284" s="141"/>
    </row>
    <row r="285" spans="1:11">
      <c r="D285" s="79" t="e">
        <f>E285*(1+$O$1)</f>
        <v>#DIV/0!</v>
      </c>
      <c r="E285" s="140" t="e">
        <f>AVERAGE(G285:Q285)</f>
        <v>#DIV/0!</v>
      </c>
      <c r="F285" s="140" t="e">
        <f>STDEV(G285:Q285)</f>
        <v>#DIV/0!</v>
      </c>
      <c r="G285" s="140"/>
      <c r="H285" s="140"/>
      <c r="I285" s="140"/>
      <c r="J285" s="140"/>
      <c r="K285" s="141"/>
    </row>
    <row r="286" spans="1:11">
      <c r="D286" s="79" t="e">
        <f>E286*(1+$O$1)</f>
        <v>#DIV/0!</v>
      </c>
      <c r="E286" s="140" t="e">
        <f>AVERAGE(G286:Q286)</f>
        <v>#DIV/0!</v>
      </c>
      <c r="F286" s="140" t="e">
        <f>STDEV(G286:Q286)</f>
        <v>#DIV/0!</v>
      </c>
      <c r="G286" s="140"/>
      <c r="H286" s="140"/>
      <c r="I286" s="140"/>
      <c r="J286" s="140"/>
      <c r="K286" s="141"/>
    </row>
    <row r="287" spans="1:11">
      <c r="D287" s="79" t="e">
        <f>E287*(1+$O$1)</f>
        <v>#DIV/0!</v>
      </c>
      <c r="E287" s="140" t="e">
        <f>AVERAGE(G287:Q287)</f>
        <v>#DIV/0!</v>
      </c>
      <c r="F287" s="140" t="e">
        <f>STDEV(G287:Q287)</f>
        <v>#DIV/0!</v>
      </c>
      <c r="G287" s="140"/>
      <c r="H287" s="140"/>
      <c r="I287" s="140"/>
      <c r="J287" s="140"/>
      <c r="K287" s="141"/>
    </row>
    <row r="288" spans="1:11">
      <c r="D288" s="79" t="e">
        <f>E288*(1+$O$1)</f>
        <v>#DIV/0!</v>
      </c>
      <c r="E288" s="140" t="e">
        <f>AVERAGE(G288:Q288)</f>
        <v>#DIV/0!</v>
      </c>
      <c r="F288" s="140" t="e">
        <f>STDEV(G288:Q288)</f>
        <v>#DIV/0!</v>
      </c>
      <c r="G288" s="140"/>
      <c r="H288" s="140"/>
      <c r="I288" s="140"/>
      <c r="J288" s="140"/>
      <c r="K288" s="141"/>
    </row>
    <row r="289" spans="1:11">
      <c r="D289" s="79" t="e">
        <f>E289*(1+$O$1)</f>
        <v>#DIV/0!</v>
      </c>
      <c r="E289" s="140" t="e">
        <f>AVERAGE(G289:Q289)</f>
        <v>#DIV/0!</v>
      </c>
      <c r="F289" s="140" t="e">
        <f>STDEV(G289:Q289)</f>
        <v>#DIV/0!</v>
      </c>
      <c r="G289" s="140"/>
      <c r="H289" s="140"/>
      <c r="I289" s="140"/>
      <c r="J289" s="140"/>
      <c r="K289" s="141"/>
    </row>
    <row r="290" spans="1:11">
      <c r="D290" s="79" t="e">
        <f>E290*(1+$O$1)</f>
        <v>#DIV/0!</v>
      </c>
      <c r="E290" s="140" t="e">
        <f>AVERAGE(G290:Q290)</f>
        <v>#DIV/0!</v>
      </c>
      <c r="F290" s="140" t="e">
        <f>STDEV(G290:Q290)</f>
        <v>#DIV/0!</v>
      </c>
      <c r="G290" s="140"/>
      <c r="H290" s="140"/>
      <c r="I290" s="140"/>
      <c r="J290" s="140"/>
      <c r="K290" s="141"/>
    </row>
    <row r="291" spans="1:11">
      <c r="D291" s="79" t="e">
        <f>E291*(1+$O$1)</f>
        <v>#DIV/0!</v>
      </c>
      <c r="E291" s="140" t="e">
        <f>AVERAGE(G291:Q291)</f>
        <v>#DIV/0!</v>
      </c>
      <c r="F291" s="140" t="e">
        <f>STDEV(G291:Q291)</f>
        <v>#DIV/0!</v>
      </c>
      <c r="G291" s="140"/>
      <c r="H291" s="140"/>
      <c r="I291" s="140"/>
      <c r="J291" s="140"/>
      <c r="K291" s="141"/>
    </row>
    <row r="292" spans="1:11">
      <c r="D292" s="79" t="e">
        <f>E292*(1+$O$1)</f>
        <v>#DIV/0!</v>
      </c>
      <c r="E292" s="140" t="e">
        <f>AVERAGE(G292:Q292)</f>
        <v>#DIV/0!</v>
      </c>
      <c r="F292" s="140" t="e">
        <f>STDEV(G292:Q292)</f>
        <v>#DIV/0!</v>
      </c>
      <c r="G292" s="140"/>
      <c r="H292" s="140"/>
      <c r="I292" s="140"/>
      <c r="J292" s="140"/>
      <c r="K292" s="141"/>
    </row>
    <row r="293" spans="1:11">
      <c r="D293" s="79" t="e">
        <f>E293*(1+$O$1)</f>
        <v>#DIV/0!</v>
      </c>
      <c r="E293" s="140" t="e">
        <f>AVERAGE(G293:Q293)</f>
        <v>#DIV/0!</v>
      </c>
      <c r="F293" s="140" t="e">
        <f>STDEV(G293:Q293)</f>
        <v>#DIV/0!</v>
      </c>
      <c r="G293" s="140"/>
      <c r="H293" s="140"/>
      <c r="I293" s="140"/>
      <c r="J293" s="140"/>
      <c r="K293" s="141"/>
    </row>
    <row r="294" spans="1:11">
      <c r="D294" s="79" t="e">
        <f>E294*(1+$O$1)</f>
        <v>#DIV/0!</v>
      </c>
      <c r="E294" s="140" t="e">
        <f>AVERAGE(G294:Q294)</f>
        <v>#DIV/0!</v>
      </c>
      <c r="F294" s="140" t="e">
        <f>STDEV(G294:Q294)</f>
        <v>#DIV/0!</v>
      </c>
      <c r="G294" s="140"/>
      <c r="H294" s="140"/>
      <c r="I294" s="140"/>
      <c r="J294" s="140"/>
      <c r="K294" s="141"/>
    </row>
    <row r="295" spans="1:11">
      <c r="A295" s="156"/>
      <c r="D295" s="79" t="e">
        <f>E295*(1+$O$1)</f>
        <v>#DIV/0!</v>
      </c>
      <c r="E295" s="140" t="e">
        <f>AVERAGE(G295:Q295)</f>
        <v>#DIV/0!</v>
      </c>
      <c r="F295" s="140" t="e">
        <f>STDEV(G295:Q295)</f>
        <v>#DIV/0!</v>
      </c>
      <c r="G295" s="140"/>
      <c r="H295" s="140"/>
      <c r="I295" s="157"/>
      <c r="J295" s="140"/>
      <c r="K295" s="141"/>
    </row>
    <row r="296" spans="1:11">
      <c r="A296" s="156"/>
      <c r="D296" s="79" t="e">
        <f>E296*(1+$O$1)</f>
        <v>#DIV/0!</v>
      </c>
      <c r="E296" s="140" t="e">
        <f>AVERAGE(G296:Q296)</f>
        <v>#DIV/0!</v>
      </c>
      <c r="F296" s="140" t="e">
        <f>STDEV(G296:Q296)</f>
        <v>#DIV/0!</v>
      </c>
      <c r="G296" s="140"/>
      <c r="H296" s="140"/>
      <c r="I296" s="157"/>
      <c r="J296" s="140"/>
      <c r="K296" s="141"/>
    </row>
    <row r="297" spans="1:11">
      <c r="D297" s="79" t="e">
        <f>E297*(1+$O$1)</f>
        <v>#DIV/0!</v>
      </c>
      <c r="E297" s="140" t="e">
        <f>AVERAGE(G297:Q297)</f>
        <v>#DIV/0!</v>
      </c>
      <c r="F297" s="140" t="e">
        <f>STDEV(G297:Q297)</f>
        <v>#DIV/0!</v>
      </c>
      <c r="G297" s="140"/>
      <c r="H297" s="140"/>
      <c r="I297" s="140"/>
      <c r="J297" s="140"/>
      <c r="K297" s="141"/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DE4F-A250-914C-B0DB-EFBCA04E17B4}">
  <dimension ref="A1:C8"/>
  <sheetViews>
    <sheetView workbookViewId="0">
      <selection activeCell="D14" sqref="D14"/>
    </sheetView>
  </sheetViews>
  <sheetFormatPr baseColWidth="10" defaultRowHeight="16"/>
  <sheetData>
    <row r="1" spans="1:3" s="212" customFormat="1" ht="34">
      <c r="A1" s="212" t="s">
        <v>926</v>
      </c>
      <c r="B1" s="212" t="s">
        <v>927</v>
      </c>
      <c r="C1" s="212" t="s">
        <v>929</v>
      </c>
    </row>
    <row r="2" spans="1:3">
      <c r="A2" t="s">
        <v>932</v>
      </c>
      <c r="B2" t="s">
        <v>928</v>
      </c>
      <c r="C2" s="323">
        <v>46049</v>
      </c>
    </row>
    <row r="3" spans="1:3">
      <c r="A3" t="s">
        <v>939</v>
      </c>
      <c r="B3" t="s">
        <v>928</v>
      </c>
    </row>
    <row r="4" spans="1:3">
      <c r="A4" t="s">
        <v>14</v>
      </c>
      <c r="B4" t="s">
        <v>928</v>
      </c>
    </row>
    <row r="5" spans="1:3">
      <c r="B5" t="s">
        <v>928</v>
      </c>
    </row>
    <row r="6" spans="1:3">
      <c r="A6" t="s">
        <v>16</v>
      </c>
      <c r="B6" t="s">
        <v>928</v>
      </c>
    </row>
    <row r="7" spans="1:3">
      <c r="A7" t="s">
        <v>17</v>
      </c>
      <c r="B7" t="s">
        <v>928</v>
      </c>
      <c r="C7" s="323">
        <v>45705</v>
      </c>
    </row>
    <row r="8" spans="1:3">
      <c r="A8" t="s">
        <v>931</v>
      </c>
      <c r="B8" t="s">
        <v>928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E01B-197A-4E39-8008-1A035B4CB4DA}">
  <dimension ref="A2:D8"/>
  <sheetViews>
    <sheetView workbookViewId="0"/>
  </sheetViews>
  <sheetFormatPr baseColWidth="10" defaultColWidth="8.83203125" defaultRowHeight="16"/>
  <cols>
    <col min="1" max="1" width="10.83203125" bestFit="1" customWidth="1"/>
    <col min="2" max="2" width="10.33203125" bestFit="1" customWidth="1"/>
    <col min="3" max="3" width="9.6640625" bestFit="1" customWidth="1"/>
    <col min="4" max="4" width="11.1640625" bestFit="1" customWidth="1"/>
  </cols>
  <sheetData>
    <row r="2" spans="1:4">
      <c r="B2" t="s">
        <v>21</v>
      </c>
      <c r="C2" t="s">
        <v>55</v>
      </c>
      <c r="D2" t="s">
        <v>142</v>
      </c>
    </row>
    <row r="3" spans="1:4">
      <c r="A3" t="s">
        <v>143</v>
      </c>
    </row>
    <row r="4" spans="1:4">
      <c r="A4" t="s">
        <v>144</v>
      </c>
    </row>
    <row r="5" spans="1:4">
      <c r="A5" t="s">
        <v>145</v>
      </c>
    </row>
    <row r="6" spans="1:4">
      <c r="A6" t="s">
        <v>146</v>
      </c>
    </row>
    <row r="7" spans="1:4">
      <c r="A7" t="s">
        <v>147</v>
      </c>
    </row>
    <row r="8" spans="1:4">
      <c r="A8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A42D-9E96-584F-AB9F-2501F5EB7E2D}">
  <sheetPr codeName="Sheet1"/>
  <dimension ref="A1:AC89"/>
  <sheetViews>
    <sheetView workbookViewId="0">
      <selection activeCell="P22" sqref="P22"/>
    </sheetView>
  </sheetViews>
  <sheetFormatPr baseColWidth="10" defaultColWidth="11" defaultRowHeight="16"/>
  <cols>
    <col min="1" max="1" width="29.6640625" bestFit="1" customWidth="1"/>
    <col min="2" max="2" width="17.33203125" bestFit="1" customWidth="1"/>
    <col min="3" max="3" width="9" customWidth="1"/>
    <col min="4" max="4" width="12" customWidth="1"/>
    <col min="5" max="5" width="9.33203125" bestFit="1" customWidth="1"/>
    <col min="6" max="6" width="11.5" customWidth="1"/>
    <col min="7" max="7" width="16.6640625" bestFit="1" customWidth="1"/>
    <col min="8" max="8" width="16" bestFit="1" customWidth="1"/>
    <col min="9" max="9" width="16.6640625" bestFit="1" customWidth="1"/>
    <col min="10" max="11" width="13.5" bestFit="1" customWidth="1"/>
    <col min="12" max="12" width="10.1640625" bestFit="1" customWidth="1"/>
    <col min="13" max="13" width="10.33203125" bestFit="1" customWidth="1"/>
    <col min="14" max="14" width="9" customWidth="1"/>
    <col min="15" max="15" width="10.6640625" customWidth="1"/>
    <col min="16" max="17" width="9.6640625" customWidth="1"/>
    <col min="18" max="18" width="10" customWidth="1"/>
    <col min="19" max="19" width="10" bestFit="1" customWidth="1"/>
    <col min="20" max="20" width="9.33203125" bestFit="1" customWidth="1"/>
    <col min="21" max="21" width="10.6640625" bestFit="1" customWidth="1"/>
    <col min="22" max="22" width="15.1640625" bestFit="1" customWidth="1"/>
    <col min="23" max="23" width="9.33203125" bestFit="1" customWidth="1"/>
    <col min="24" max="24" width="9.33203125" customWidth="1"/>
    <col min="25" max="25" width="10" bestFit="1" customWidth="1"/>
    <col min="26" max="26" width="10.6640625" bestFit="1" customWidth="1"/>
    <col min="27" max="27" width="6.6640625" bestFit="1" customWidth="1"/>
    <col min="28" max="28" width="4.83203125" bestFit="1" customWidth="1"/>
    <col min="29" max="29" width="9" bestFit="1" customWidth="1"/>
    <col min="30" max="30" width="21" bestFit="1" customWidth="1"/>
    <col min="31" max="31" width="11.6640625" bestFit="1" customWidth="1"/>
    <col min="32" max="32" width="9.33203125" bestFit="1" customWidth="1"/>
    <col min="33" max="33" width="6.1640625" bestFit="1" customWidth="1"/>
    <col min="35" max="35" width="13.6640625" bestFit="1" customWidth="1"/>
    <col min="36" max="36" width="9.1640625" bestFit="1" customWidth="1"/>
    <col min="37" max="37" width="11.6640625" bestFit="1" customWidth="1"/>
    <col min="38" max="38" width="13.6640625" bestFit="1" customWidth="1"/>
    <col min="39" max="39" width="19" bestFit="1" customWidth="1"/>
    <col min="40" max="40" width="17.33203125" bestFit="1" customWidth="1"/>
    <col min="41" max="41" width="8.1640625" bestFit="1" customWidth="1"/>
    <col min="42" max="42" width="4.83203125" bestFit="1" customWidth="1"/>
    <col min="43" max="43" width="9.33203125" bestFit="1" customWidth="1"/>
    <col min="44" max="44" width="6.5" bestFit="1" customWidth="1"/>
    <col min="45" max="45" width="5" bestFit="1" customWidth="1"/>
    <col min="46" max="46" width="12.1640625" bestFit="1" customWidth="1"/>
    <col min="47" max="47" width="7" bestFit="1" customWidth="1"/>
    <col min="48" max="48" width="6.6640625" bestFit="1" customWidth="1"/>
    <col min="49" max="49" width="7.6640625" bestFit="1" customWidth="1"/>
    <col min="50" max="50" width="18" bestFit="1" customWidth="1"/>
    <col min="51" max="51" width="15.83203125" bestFit="1" customWidth="1"/>
    <col min="52" max="52" width="20.83203125" bestFit="1" customWidth="1"/>
    <col min="53" max="53" width="11.33203125" bestFit="1" customWidth="1"/>
    <col min="54" max="54" width="12.83203125" bestFit="1" customWidth="1"/>
    <col min="55" max="55" width="20.1640625" bestFit="1" customWidth="1"/>
    <col min="56" max="56" width="6" bestFit="1" customWidth="1"/>
    <col min="57" max="57" width="19.5" bestFit="1" customWidth="1"/>
    <col min="58" max="58" width="10.5" bestFit="1" customWidth="1"/>
    <col min="59" max="59" width="9.5" bestFit="1" customWidth="1"/>
    <col min="60" max="60" width="9.6640625" bestFit="1" customWidth="1"/>
    <col min="61" max="62" width="9.33203125" bestFit="1" customWidth="1"/>
    <col min="63" max="63" width="14.83203125" bestFit="1" customWidth="1"/>
    <col min="64" max="64" width="11.83203125" bestFit="1" customWidth="1"/>
    <col min="65" max="65" width="10.6640625" bestFit="1" customWidth="1"/>
    <col min="66" max="66" width="13.5" bestFit="1" customWidth="1"/>
    <col min="67" max="67" width="13.6640625" bestFit="1" customWidth="1"/>
    <col min="68" max="68" width="15.1640625" bestFit="1" customWidth="1"/>
    <col min="69" max="69" width="16.6640625" bestFit="1" customWidth="1"/>
    <col min="70" max="70" width="6.33203125" bestFit="1" customWidth="1"/>
    <col min="71" max="71" width="6.83203125" bestFit="1" customWidth="1"/>
    <col min="72" max="72" width="5.6640625" bestFit="1" customWidth="1"/>
    <col min="73" max="73" width="11.33203125" bestFit="1" customWidth="1"/>
    <col min="74" max="74" width="14.5" bestFit="1" customWidth="1"/>
    <col min="75" max="75" width="12.33203125" bestFit="1" customWidth="1"/>
    <col min="76" max="76" width="12.6640625" bestFit="1" customWidth="1"/>
    <col min="77" max="77" width="12.33203125" bestFit="1" customWidth="1"/>
    <col min="78" max="78" width="13.1640625" bestFit="1" customWidth="1"/>
    <col min="79" max="79" width="8" bestFit="1" customWidth="1"/>
    <col min="80" max="80" width="9.1640625" bestFit="1" customWidth="1"/>
    <col min="81" max="81" width="7" bestFit="1" customWidth="1"/>
    <col min="82" max="82" width="11.1640625" bestFit="1" customWidth="1"/>
    <col min="83" max="83" width="10" bestFit="1" customWidth="1"/>
    <col min="84" max="84" width="10.1640625" bestFit="1" customWidth="1"/>
    <col min="85" max="85" width="7" bestFit="1" customWidth="1"/>
  </cols>
  <sheetData>
    <row r="1" spans="1:15" ht="51">
      <c r="A1" s="158" t="s">
        <v>4</v>
      </c>
      <c r="B1" t="s">
        <v>149</v>
      </c>
      <c r="C1" s="69"/>
      <c r="D1" s="155"/>
      <c r="E1" s="87"/>
      <c r="I1" s="164" t="s">
        <v>150</v>
      </c>
      <c r="J1" s="165">
        <v>30</v>
      </c>
      <c r="K1" s="80"/>
      <c r="L1" s="80"/>
    </row>
    <row r="2" spans="1:15">
      <c r="C2" s="69"/>
      <c r="D2" s="155"/>
      <c r="E2" s="87"/>
      <c r="I2" s="73"/>
      <c r="J2" s="73"/>
      <c r="K2" s="80"/>
      <c r="L2" s="80"/>
    </row>
    <row r="3" spans="1:15" ht="83" customHeight="1" thickBot="1">
      <c r="A3" s="158" t="s">
        <v>151</v>
      </c>
      <c r="B3" s="161"/>
      <c r="C3" s="172"/>
      <c r="D3" s="173"/>
      <c r="E3" s="174" t="s">
        <v>152</v>
      </c>
      <c r="F3" s="174" t="s">
        <v>153</v>
      </c>
      <c r="G3" s="175"/>
      <c r="H3" s="175"/>
      <c r="I3" s="176" t="s">
        <v>154</v>
      </c>
      <c r="J3" s="176" t="s">
        <v>155</v>
      </c>
      <c r="K3" s="177"/>
      <c r="L3" s="178" t="s">
        <v>156</v>
      </c>
    </row>
    <row r="4" spans="1:15" ht="17" thickTop="1">
      <c r="A4" s="159" t="s">
        <v>22</v>
      </c>
      <c r="C4" s="246" t="s">
        <v>21</v>
      </c>
      <c r="D4" s="248">
        <f>SUMPRODUCT(I4:I9, E4:E9)</f>
        <v>22.89473511904762</v>
      </c>
      <c r="E4" s="212">
        <v>3</v>
      </c>
      <c r="F4" s="119">
        <f t="shared" ref="F4:F9" si="0">$J$1*E4</f>
        <v>90</v>
      </c>
      <c r="H4" t="s">
        <v>157</v>
      </c>
      <c r="I4" s="80">
        <f>AVERAGEIFS('Master Variety List'!E:E, 'Master Variety List'!A:A, "*Early Spring*", 'Master Variety List'!B:B, "*Focal*")</f>
        <v>2.5036666666666667</v>
      </c>
      <c r="J4" s="179">
        <v>500</v>
      </c>
      <c r="K4" s="80"/>
      <c r="L4" s="166">
        <f t="shared" ref="L4" si="1">J4-F4</f>
        <v>410</v>
      </c>
      <c r="M4">
        <v>3</v>
      </c>
      <c r="N4">
        <v>4</v>
      </c>
      <c r="O4">
        <v>3</v>
      </c>
    </row>
    <row r="5" spans="1:15">
      <c r="A5" s="160" t="s">
        <v>23</v>
      </c>
      <c r="C5" s="246"/>
      <c r="D5" s="248"/>
      <c r="E5" s="212">
        <v>5</v>
      </c>
      <c r="F5" s="119">
        <f t="shared" si="0"/>
        <v>150</v>
      </c>
      <c r="H5" t="s">
        <v>158</v>
      </c>
      <c r="I5" s="80">
        <f>AVERAGEIFS('Master Variety List'!E:E, 'Master Variety List'!A:A, "*Early Spring*", 'Master Variety List'!B:B, "*Foundation*")</f>
        <v>1.8387500000000001</v>
      </c>
      <c r="J5" s="179">
        <v>700</v>
      </c>
      <c r="K5" s="80"/>
      <c r="L5" s="166">
        <f>J5-F5</f>
        <v>550</v>
      </c>
      <c r="M5">
        <v>8</v>
      </c>
      <c r="N5">
        <v>10</v>
      </c>
      <c r="O5">
        <v>12</v>
      </c>
    </row>
    <row r="6" spans="1:15">
      <c r="A6" s="160" t="s">
        <v>24</v>
      </c>
      <c r="C6" s="246"/>
      <c r="D6" s="248"/>
      <c r="E6" s="212">
        <v>1</v>
      </c>
      <c r="F6" s="119">
        <f t="shared" si="0"/>
        <v>30</v>
      </c>
      <c r="H6" t="s">
        <v>159</v>
      </c>
      <c r="I6" s="80">
        <f>AVERAGEIFS('Master Variety List'!E:E, 'Master Variety List'!A:A, "*Early Spring*", 'Master Variety List'!B:B, "*Filler*")</f>
        <v>1.6676041666666666</v>
      </c>
      <c r="J6" s="179">
        <v>100</v>
      </c>
      <c r="K6" s="80"/>
      <c r="L6" s="166">
        <v>100</v>
      </c>
      <c r="O6">
        <v>0</v>
      </c>
    </row>
    <row r="7" spans="1:15">
      <c r="A7" s="160" t="s">
        <v>25</v>
      </c>
      <c r="C7" s="246"/>
      <c r="D7" s="248"/>
      <c r="E7" s="212">
        <v>1</v>
      </c>
      <c r="F7" s="119">
        <f t="shared" si="0"/>
        <v>30</v>
      </c>
      <c r="H7" t="s">
        <v>160</v>
      </c>
      <c r="I7" s="80">
        <f>AVERAGEIFS('Master Variety List'!E:E, 'Master Variety List'!A:A, "*Early Spring*", 'Master Variety List'!B:B, "*Float*")</f>
        <v>1.5766666666666667</v>
      </c>
      <c r="J7" s="179">
        <v>400</v>
      </c>
      <c r="K7" s="80"/>
      <c r="L7" s="166">
        <f>J7-F7</f>
        <v>370</v>
      </c>
      <c r="N7">
        <v>1</v>
      </c>
      <c r="O7">
        <v>0</v>
      </c>
    </row>
    <row r="8" spans="1:15">
      <c r="A8" s="159" t="s">
        <v>26</v>
      </c>
      <c r="C8" s="246"/>
      <c r="D8" s="248"/>
      <c r="E8" s="212">
        <v>0</v>
      </c>
      <c r="F8" s="119">
        <f t="shared" si="0"/>
        <v>0</v>
      </c>
      <c r="H8" t="s">
        <v>161</v>
      </c>
      <c r="I8" s="80">
        <f>AVERAGEIFS('Master Variety List'!E:E, 'Master Variety List'!A:A, "*Early Spring*", 'Master Variety List'!B:B, "*Finisher*")</f>
        <v>2.0083333333333333</v>
      </c>
      <c r="J8" s="179">
        <v>25</v>
      </c>
      <c r="K8" s="80"/>
      <c r="L8" s="166">
        <f>J8-F8</f>
        <v>25</v>
      </c>
      <c r="N8">
        <v>2</v>
      </c>
      <c r="O8">
        <v>2</v>
      </c>
    </row>
    <row r="9" spans="1:15">
      <c r="A9" s="160" t="s">
        <v>27</v>
      </c>
      <c r="C9" s="247"/>
      <c r="D9" s="249"/>
      <c r="E9" s="167">
        <v>2</v>
      </c>
      <c r="F9" s="168">
        <f t="shared" si="0"/>
        <v>60</v>
      </c>
      <c r="G9" s="169"/>
      <c r="H9" s="169" t="s">
        <v>162</v>
      </c>
      <c r="I9" s="170">
        <f>AVERAGEIFS('Master Variety List'!E:E, 'Master Variety List'!A:A, "*Early Spring*", 'Master Variety List'!B:B, "*Foliage*")</f>
        <v>1.4728571428571429</v>
      </c>
      <c r="J9" s="180">
        <v>150</v>
      </c>
      <c r="K9" s="170"/>
      <c r="L9" s="171">
        <f>J9-F9</f>
        <v>90</v>
      </c>
      <c r="M9">
        <v>2</v>
      </c>
      <c r="N9">
        <v>2</v>
      </c>
      <c r="O9">
        <v>2</v>
      </c>
    </row>
    <row r="10" spans="1:15">
      <c r="A10" s="160" t="s">
        <v>35</v>
      </c>
      <c r="C10" s="69"/>
      <c r="D10" s="155"/>
      <c r="E10" s="87"/>
      <c r="I10" s="80"/>
      <c r="J10" s="154"/>
      <c r="K10" s="80"/>
      <c r="L10" s="154"/>
    </row>
    <row r="11" spans="1:15">
      <c r="A11" s="160" t="s">
        <v>29</v>
      </c>
    </row>
    <row r="12" spans="1:15" ht="21">
      <c r="A12" s="160" t="s">
        <v>31</v>
      </c>
      <c r="F12" s="242" t="s">
        <v>163</v>
      </c>
      <c r="G12" s="242"/>
      <c r="H12" s="242"/>
      <c r="I12" s="242"/>
      <c r="J12" s="242"/>
    </row>
    <row r="13" spans="1:15" ht="19">
      <c r="A13" s="160" t="s">
        <v>32</v>
      </c>
      <c r="F13" s="241" t="s">
        <v>164</v>
      </c>
      <c r="G13" s="241"/>
      <c r="H13" s="241"/>
      <c r="I13" s="241"/>
      <c r="J13" s="241"/>
      <c r="K13" s="159"/>
      <c r="L13" s="159"/>
      <c r="M13" s="159"/>
    </row>
    <row r="14" spans="1:15" ht="19">
      <c r="A14" s="160" t="s">
        <v>28</v>
      </c>
      <c r="F14" s="241" t="s">
        <v>165</v>
      </c>
      <c r="G14" s="241"/>
      <c r="H14" s="241"/>
      <c r="I14" s="241"/>
      <c r="J14" s="241"/>
      <c r="K14" s="159"/>
      <c r="L14" s="159"/>
      <c r="M14" s="159"/>
    </row>
    <row r="15" spans="1:15" ht="19">
      <c r="A15" s="159" t="s">
        <v>33</v>
      </c>
      <c r="F15" s="241" t="s">
        <v>166</v>
      </c>
      <c r="G15" s="241"/>
      <c r="H15" s="241"/>
      <c r="I15" s="241"/>
      <c r="J15" s="241"/>
      <c r="K15" s="241"/>
      <c r="L15" s="241"/>
      <c r="M15" s="241"/>
    </row>
    <row r="16" spans="1:15" ht="19">
      <c r="A16" s="160" t="s">
        <v>39</v>
      </c>
      <c r="F16" s="241" t="s">
        <v>167</v>
      </c>
      <c r="G16" s="241"/>
      <c r="H16" s="241"/>
      <c r="I16" s="241"/>
      <c r="J16" s="241"/>
      <c r="K16" s="159"/>
      <c r="L16" s="159"/>
      <c r="M16" s="159"/>
    </row>
    <row r="17" spans="1:27" ht="19">
      <c r="A17" s="160" t="s">
        <v>40</v>
      </c>
      <c r="F17" s="241" t="s">
        <v>168</v>
      </c>
      <c r="G17" s="241"/>
      <c r="H17" s="241"/>
      <c r="I17" s="241"/>
      <c r="J17" s="241"/>
      <c r="K17" s="159"/>
      <c r="L17" s="159"/>
      <c r="M17" s="159"/>
    </row>
    <row r="18" spans="1:27">
      <c r="A18" s="160" t="s">
        <v>34</v>
      </c>
    </row>
    <row r="19" spans="1:27">
      <c r="A19" s="160" t="s">
        <v>38</v>
      </c>
      <c r="F19" t="s">
        <v>169</v>
      </c>
      <c r="G19" s="119" t="s">
        <v>170</v>
      </c>
      <c r="H19" s="119"/>
      <c r="I19" s="119"/>
      <c r="J19" s="119"/>
      <c r="K19" s="119"/>
      <c r="L19" s="119"/>
      <c r="M19" s="119"/>
      <c r="N19" s="119"/>
      <c r="O19" s="119" t="s">
        <v>171</v>
      </c>
      <c r="P19" s="119"/>
      <c r="Q19" s="119" t="s">
        <v>172</v>
      </c>
      <c r="R19" s="119"/>
      <c r="S19" s="119"/>
      <c r="T19" s="119"/>
      <c r="U19" s="119" t="s">
        <v>173</v>
      </c>
      <c r="V19" s="119"/>
      <c r="W19" s="119" t="s">
        <v>174</v>
      </c>
      <c r="X19" s="119"/>
    </row>
    <row r="20" spans="1:27" ht="35" thickBot="1">
      <c r="A20" s="160" t="s">
        <v>36</v>
      </c>
      <c r="B20" s="243" t="s">
        <v>175</v>
      </c>
      <c r="C20" s="243" t="s">
        <v>176</v>
      </c>
      <c r="D20" s="87"/>
      <c r="E20" s="87"/>
      <c r="F20" s="87" t="s">
        <v>177</v>
      </c>
      <c r="G20" s="87" t="s">
        <v>178</v>
      </c>
      <c r="H20" s="87" t="s">
        <v>179</v>
      </c>
      <c r="I20" s="87" t="s">
        <v>180</v>
      </c>
      <c r="J20" s="87" t="s">
        <v>181</v>
      </c>
      <c r="K20" s="87" t="s">
        <v>182</v>
      </c>
      <c r="L20" s="87" t="s">
        <v>183</v>
      </c>
      <c r="M20" s="87" t="s">
        <v>32</v>
      </c>
      <c r="N20" s="87" t="s">
        <v>40</v>
      </c>
      <c r="O20" s="87" t="s">
        <v>184</v>
      </c>
      <c r="P20" s="87" t="s">
        <v>39</v>
      </c>
      <c r="Q20" s="87" t="s">
        <v>42</v>
      </c>
      <c r="R20" s="87" t="s">
        <v>185</v>
      </c>
      <c r="S20" s="87" t="s">
        <v>186</v>
      </c>
      <c r="T20" s="87" t="s">
        <v>45</v>
      </c>
      <c r="U20" s="87" t="s">
        <v>117</v>
      </c>
      <c r="V20" s="87" t="s">
        <v>115</v>
      </c>
      <c r="W20" s="87" t="s">
        <v>52</v>
      </c>
      <c r="X20" s="87" t="s">
        <v>53</v>
      </c>
      <c r="Z20" s="87"/>
    </row>
    <row r="21" spans="1:27" ht="32" customHeight="1" thickTop="1" thickBot="1">
      <c r="A21" s="159" t="s">
        <v>187</v>
      </c>
      <c r="B21" s="243"/>
      <c r="C21" s="243"/>
      <c r="D21" s="244" t="s">
        <v>188</v>
      </c>
      <c r="E21" s="245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U21" s="74"/>
      <c r="V21" s="74"/>
      <c r="W21" s="74"/>
      <c r="X21" s="74"/>
      <c r="Y21" s="74"/>
      <c r="Z21" s="74"/>
      <c r="AA21" s="69"/>
    </row>
    <row r="22" spans="1:27" ht="104" thickTop="1" thickBot="1">
      <c r="A22" s="160" t="s">
        <v>42</v>
      </c>
      <c r="D22" s="195" t="s">
        <v>189</v>
      </c>
      <c r="E22" s="194" t="s">
        <v>190</v>
      </c>
      <c r="F22" s="74" t="s">
        <v>191</v>
      </c>
      <c r="G22" s="74" t="s">
        <v>192</v>
      </c>
      <c r="H22" s="74" t="s">
        <v>193</v>
      </c>
      <c r="I22" s="74" t="s">
        <v>194</v>
      </c>
      <c r="J22" s="74" t="s">
        <v>195</v>
      </c>
      <c r="K22" s="74" t="s">
        <v>195</v>
      </c>
      <c r="L22" s="74" t="s">
        <v>196</v>
      </c>
      <c r="M22" s="74" t="s">
        <v>197</v>
      </c>
      <c r="N22" s="74" t="s">
        <v>196</v>
      </c>
      <c r="O22" s="74" t="s">
        <v>193</v>
      </c>
      <c r="P22" s="74"/>
      <c r="Q22" s="74" t="s">
        <v>195</v>
      </c>
      <c r="R22" s="74"/>
      <c r="S22" s="74" t="s">
        <v>198</v>
      </c>
      <c r="T22" s="74" t="s">
        <v>195</v>
      </c>
      <c r="U22" s="74"/>
      <c r="V22" s="74"/>
      <c r="W22" s="74"/>
      <c r="X22" s="74"/>
      <c r="Y22" s="74"/>
      <c r="Z22" s="74"/>
      <c r="AA22" s="69"/>
    </row>
    <row r="23" spans="1:27" ht="171" thickBot="1">
      <c r="A23" s="160" t="s">
        <v>43</v>
      </c>
      <c r="D23" s="195" t="s">
        <v>199</v>
      </c>
      <c r="E23" s="194" t="s">
        <v>200</v>
      </c>
      <c r="F23" s="74" t="s">
        <v>201</v>
      </c>
      <c r="G23" s="74"/>
      <c r="H23" s="74" t="s">
        <v>202</v>
      </c>
      <c r="I23" s="74" t="s">
        <v>194</v>
      </c>
      <c r="J23" s="74" t="s">
        <v>203</v>
      </c>
      <c r="K23" s="74"/>
      <c r="L23" s="74" t="s">
        <v>204</v>
      </c>
      <c r="M23" s="74" t="s">
        <v>205</v>
      </c>
      <c r="N23" s="74" t="s">
        <v>206</v>
      </c>
      <c r="O23" s="74" t="s">
        <v>193</v>
      </c>
      <c r="P23" s="74"/>
      <c r="Q23" s="74" t="s">
        <v>195</v>
      </c>
      <c r="R23" s="74" t="s">
        <v>203</v>
      </c>
      <c r="S23" s="74" t="s">
        <v>207</v>
      </c>
      <c r="T23" s="74"/>
      <c r="U23" s="74"/>
      <c r="V23" s="74"/>
      <c r="W23" s="74"/>
      <c r="X23" s="74"/>
      <c r="Y23" s="74"/>
      <c r="Z23" s="74"/>
      <c r="AA23" s="69"/>
    </row>
    <row r="24" spans="1:27" ht="103" thickBot="1">
      <c r="A24" s="160" t="s">
        <v>44</v>
      </c>
      <c r="D24" s="195" t="s">
        <v>208</v>
      </c>
      <c r="E24" s="194" t="s">
        <v>209</v>
      </c>
      <c r="F24" s="74" t="s">
        <v>210</v>
      </c>
      <c r="G24" s="74" t="s">
        <v>192</v>
      </c>
      <c r="H24" s="74" t="s">
        <v>211</v>
      </c>
      <c r="I24" s="74" t="s">
        <v>195</v>
      </c>
      <c r="J24" s="74" t="s">
        <v>212</v>
      </c>
      <c r="K24" s="74"/>
      <c r="L24" s="74" t="s">
        <v>195</v>
      </c>
      <c r="M24" s="74" t="s">
        <v>213</v>
      </c>
      <c r="N24" s="74" t="s">
        <v>214</v>
      </c>
      <c r="O24" s="74"/>
      <c r="P24" s="74"/>
      <c r="Q24" s="74" t="s">
        <v>212</v>
      </c>
      <c r="R24" s="74"/>
      <c r="S24" s="74" t="s">
        <v>195</v>
      </c>
      <c r="T24" s="74" t="s">
        <v>195</v>
      </c>
      <c r="U24" s="74"/>
      <c r="V24" s="74"/>
      <c r="W24" s="74"/>
      <c r="X24" s="74"/>
      <c r="Y24" s="74"/>
      <c r="Z24" s="74"/>
      <c r="AA24" s="69"/>
    </row>
    <row r="25" spans="1:27" ht="69" thickBot="1">
      <c r="A25" s="160" t="s">
        <v>45</v>
      </c>
      <c r="D25" s="195" t="s">
        <v>215</v>
      </c>
      <c r="E25" s="194" t="s">
        <v>216</v>
      </c>
      <c r="F25" s="74" t="s">
        <v>217</v>
      </c>
      <c r="G25" s="74"/>
      <c r="H25" s="74" t="s">
        <v>218</v>
      </c>
      <c r="I25" s="74" t="s">
        <v>195</v>
      </c>
      <c r="J25" s="74" t="s">
        <v>203</v>
      </c>
      <c r="K25" s="74"/>
      <c r="L25" s="74"/>
      <c r="M25" s="74" t="s">
        <v>219</v>
      </c>
      <c r="N25" s="74" t="s">
        <v>203</v>
      </c>
      <c r="O25" s="74"/>
      <c r="P25" s="74"/>
      <c r="Q25" s="74"/>
      <c r="R25" s="74" t="s">
        <v>220</v>
      </c>
      <c r="S25" s="74" t="s">
        <v>221</v>
      </c>
      <c r="T25" s="74" t="s">
        <v>222</v>
      </c>
      <c r="U25" s="74"/>
      <c r="V25" s="74"/>
      <c r="W25" s="74"/>
      <c r="X25" s="74"/>
      <c r="Y25" s="74"/>
      <c r="Z25" s="74"/>
      <c r="AA25" s="69"/>
    </row>
    <row r="26" spans="1:27" ht="154" thickBot="1">
      <c r="A26" s="159" t="s">
        <v>49</v>
      </c>
      <c r="D26" s="195" t="s">
        <v>223</v>
      </c>
      <c r="E26" s="194" t="s">
        <v>224</v>
      </c>
      <c r="F26" s="74" t="s">
        <v>225</v>
      </c>
      <c r="G26" s="74" t="s">
        <v>192</v>
      </c>
      <c r="H26" s="74" t="s">
        <v>193</v>
      </c>
      <c r="I26" s="74" t="s">
        <v>195</v>
      </c>
      <c r="J26" s="74"/>
      <c r="K26" s="74"/>
      <c r="L26" s="74" t="s">
        <v>204</v>
      </c>
      <c r="M26" s="74" t="s">
        <v>226</v>
      </c>
      <c r="N26" s="74" t="s">
        <v>227</v>
      </c>
      <c r="O26" s="74"/>
      <c r="P26" s="74"/>
      <c r="Q26" s="74" t="s">
        <v>195</v>
      </c>
      <c r="R26" s="74"/>
      <c r="S26" s="74" t="s">
        <v>207</v>
      </c>
      <c r="T26" s="74" t="s">
        <v>195</v>
      </c>
      <c r="U26" s="74"/>
      <c r="V26" s="74"/>
      <c r="W26" s="74"/>
      <c r="X26" s="74"/>
      <c r="Y26" s="74"/>
      <c r="Z26" s="74"/>
      <c r="AA26" s="69"/>
    </row>
    <row r="27" spans="1:27" ht="188" thickBot="1">
      <c r="A27" s="160" t="s">
        <v>115</v>
      </c>
      <c r="D27" s="195" t="s">
        <v>228</v>
      </c>
      <c r="E27" s="194" t="s">
        <v>229</v>
      </c>
      <c r="F27" s="74" t="s">
        <v>230</v>
      </c>
      <c r="G27" s="74"/>
      <c r="H27" s="74" t="s">
        <v>231</v>
      </c>
      <c r="I27" s="74" t="s">
        <v>194</v>
      </c>
      <c r="J27" s="74"/>
      <c r="K27" s="74"/>
      <c r="L27" s="74" t="s">
        <v>232</v>
      </c>
      <c r="M27" s="74" t="s">
        <v>233</v>
      </c>
      <c r="N27" s="74" t="s">
        <v>234</v>
      </c>
      <c r="O27" s="74"/>
      <c r="P27" s="74"/>
      <c r="Q27" s="74"/>
      <c r="R27" s="74" t="s">
        <v>220</v>
      </c>
      <c r="S27" s="74" t="s">
        <v>235</v>
      </c>
      <c r="T27" s="74" t="s">
        <v>236</v>
      </c>
      <c r="U27" s="74"/>
      <c r="V27" s="74"/>
      <c r="W27" s="74"/>
      <c r="X27" s="74"/>
      <c r="Y27" s="74"/>
      <c r="Z27" s="74"/>
      <c r="AA27" s="69"/>
    </row>
    <row r="28" spans="1:27" ht="85">
      <c r="A28" s="160" t="s">
        <v>117</v>
      </c>
      <c r="D28" s="197" t="s">
        <v>237</v>
      </c>
      <c r="E28" s="196" t="s">
        <v>238</v>
      </c>
      <c r="F28" s="74" t="s">
        <v>239</v>
      </c>
      <c r="G28" s="74" t="s">
        <v>192</v>
      </c>
      <c r="H28" s="74" t="s">
        <v>193</v>
      </c>
      <c r="I28" s="74" t="s">
        <v>195</v>
      </c>
      <c r="J28" s="74"/>
      <c r="K28" s="74"/>
      <c r="L28" s="74" t="s">
        <v>240</v>
      </c>
      <c r="M28" s="74" t="s">
        <v>241</v>
      </c>
      <c r="N28" s="74" t="s">
        <v>242</v>
      </c>
      <c r="O28" s="74" t="s">
        <v>195</v>
      </c>
      <c r="P28" s="74"/>
      <c r="Q28" s="74" t="s">
        <v>195</v>
      </c>
      <c r="R28" s="74"/>
      <c r="S28" s="74" t="s">
        <v>243</v>
      </c>
      <c r="T28" s="74" t="s">
        <v>195</v>
      </c>
      <c r="U28" s="74"/>
      <c r="V28" s="74"/>
      <c r="W28" s="74"/>
      <c r="X28" s="74"/>
      <c r="Y28" s="74"/>
      <c r="Z28" s="74"/>
      <c r="AA28" s="69"/>
    </row>
    <row r="29" spans="1:27" ht="17" thickBot="1">
      <c r="A29" s="159" t="s">
        <v>51</v>
      </c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69"/>
    </row>
    <row r="30" spans="1:27" ht="36" customHeight="1" thickTop="1" thickBot="1">
      <c r="A30" s="160" t="s">
        <v>53</v>
      </c>
      <c r="D30" s="244" t="s">
        <v>244</v>
      </c>
      <c r="E30" s="245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69"/>
    </row>
    <row r="31" spans="1:27" ht="155" thickTop="1" thickBot="1">
      <c r="A31" s="160" t="s">
        <v>137</v>
      </c>
      <c r="D31" s="195" t="s">
        <v>245</v>
      </c>
      <c r="E31" s="194" t="s">
        <v>246</v>
      </c>
      <c r="F31" s="74" t="s">
        <v>247</v>
      </c>
      <c r="G31" s="74" t="s">
        <v>248</v>
      </c>
      <c r="H31" s="74" t="s">
        <v>193</v>
      </c>
      <c r="I31" s="74" t="s">
        <v>195</v>
      </c>
      <c r="J31" s="74"/>
      <c r="K31" s="74"/>
      <c r="L31" s="74" t="s">
        <v>249</v>
      </c>
      <c r="M31" s="74" t="s">
        <v>250</v>
      </c>
      <c r="N31" s="74" t="s">
        <v>251</v>
      </c>
      <c r="O31" s="74"/>
      <c r="P31" s="74"/>
      <c r="Q31" s="74" t="s">
        <v>195</v>
      </c>
      <c r="R31" s="74" t="s">
        <v>252</v>
      </c>
      <c r="S31" s="74" t="s">
        <v>253</v>
      </c>
      <c r="T31" s="74"/>
      <c r="U31" s="74"/>
      <c r="V31" s="74"/>
      <c r="W31" s="74"/>
      <c r="X31" s="74"/>
      <c r="Y31" s="74"/>
      <c r="Z31" s="74"/>
      <c r="AA31" s="69"/>
    </row>
    <row r="32" spans="1:27" ht="137" thickBot="1">
      <c r="A32" s="160" t="s">
        <v>52</v>
      </c>
      <c r="D32" s="195" t="s">
        <v>254</v>
      </c>
      <c r="E32" s="194" t="s">
        <v>255</v>
      </c>
      <c r="F32" s="74" t="s">
        <v>256</v>
      </c>
      <c r="G32" s="74"/>
      <c r="H32" s="74" t="s">
        <v>257</v>
      </c>
      <c r="I32" s="74"/>
      <c r="J32" s="74"/>
      <c r="K32" s="74"/>
      <c r="L32" s="74"/>
      <c r="M32" s="74" t="s">
        <v>258</v>
      </c>
      <c r="N32" s="74" t="s">
        <v>203</v>
      </c>
      <c r="O32" s="74"/>
      <c r="P32" s="74"/>
      <c r="Q32" s="74" t="s">
        <v>195</v>
      </c>
      <c r="R32" s="74" t="s">
        <v>259</v>
      </c>
      <c r="S32" s="74" t="s">
        <v>203</v>
      </c>
      <c r="T32" s="74"/>
      <c r="U32" s="74"/>
      <c r="V32" s="74"/>
      <c r="W32" s="74"/>
      <c r="X32" s="74"/>
      <c r="Y32" s="74"/>
      <c r="Z32" s="74"/>
      <c r="AA32" s="69"/>
    </row>
    <row r="33" spans="1:29" ht="171" thickBot="1">
      <c r="A33" s="160" t="s">
        <v>141</v>
      </c>
      <c r="D33" s="195" t="s">
        <v>260</v>
      </c>
      <c r="E33" s="194" t="s">
        <v>261</v>
      </c>
      <c r="F33" s="74" t="s">
        <v>262</v>
      </c>
      <c r="G33" s="74"/>
      <c r="H33" s="74" t="s">
        <v>263</v>
      </c>
      <c r="I33" s="74" t="s">
        <v>264</v>
      </c>
      <c r="J33" s="74"/>
      <c r="K33" s="74"/>
      <c r="L33" s="74" t="s">
        <v>265</v>
      </c>
      <c r="M33" s="74" t="s">
        <v>266</v>
      </c>
      <c r="N33" s="74" t="s">
        <v>203</v>
      </c>
      <c r="O33" s="74"/>
      <c r="P33" s="74"/>
      <c r="Q33" s="74" t="s">
        <v>195</v>
      </c>
      <c r="R33" s="74" t="s">
        <v>203</v>
      </c>
      <c r="S33" s="74" t="s">
        <v>203</v>
      </c>
      <c r="T33" s="74"/>
      <c r="U33" s="74"/>
      <c r="V33" s="74"/>
      <c r="W33" s="74"/>
      <c r="X33" s="74"/>
      <c r="Y33" s="74"/>
      <c r="Z33" s="74"/>
      <c r="AA33" s="69"/>
    </row>
    <row r="34" spans="1:29" ht="120" thickBot="1">
      <c r="A34" s="160" t="s">
        <v>131</v>
      </c>
      <c r="D34" s="195" t="s">
        <v>267</v>
      </c>
      <c r="E34" s="194" t="s">
        <v>268</v>
      </c>
      <c r="F34" s="74" t="s">
        <v>269</v>
      </c>
      <c r="G34" s="74" t="s">
        <v>248</v>
      </c>
      <c r="H34" s="74"/>
      <c r="I34" s="74" t="s">
        <v>194</v>
      </c>
      <c r="J34" s="74"/>
      <c r="K34" s="74"/>
      <c r="L34" s="74" t="s">
        <v>270</v>
      </c>
      <c r="M34" s="74" t="s">
        <v>271</v>
      </c>
      <c r="N34" s="74" t="s">
        <v>272</v>
      </c>
      <c r="O34" s="74"/>
      <c r="P34" s="74"/>
      <c r="Q34" s="74" t="s">
        <v>195</v>
      </c>
      <c r="R34" s="74" t="s">
        <v>203</v>
      </c>
      <c r="S34" s="74" t="s">
        <v>273</v>
      </c>
      <c r="T34" s="74" t="s">
        <v>195</v>
      </c>
      <c r="U34" s="74"/>
      <c r="V34" s="74"/>
      <c r="W34" s="74"/>
      <c r="X34" s="74"/>
      <c r="Y34" s="74"/>
      <c r="Z34" s="74"/>
      <c r="AA34" s="69"/>
    </row>
    <row r="35" spans="1:29" ht="119">
      <c r="A35" s="159" t="s">
        <v>274</v>
      </c>
      <c r="D35" s="197" t="s">
        <v>275</v>
      </c>
      <c r="E35" s="196" t="s">
        <v>276</v>
      </c>
      <c r="F35" s="74" t="s">
        <v>277</v>
      </c>
      <c r="G35" s="74" t="s">
        <v>278</v>
      </c>
      <c r="H35" s="74" t="s">
        <v>279</v>
      </c>
      <c r="I35" s="74" t="s">
        <v>195</v>
      </c>
      <c r="J35" s="74"/>
      <c r="K35" s="74"/>
      <c r="L35" s="74" t="s">
        <v>280</v>
      </c>
      <c r="M35" s="74" t="s">
        <v>281</v>
      </c>
      <c r="N35" s="74" t="s">
        <v>282</v>
      </c>
      <c r="O35" s="74"/>
      <c r="P35" s="74"/>
      <c r="Q35" s="74" t="s">
        <v>212</v>
      </c>
      <c r="R35" s="74" t="s">
        <v>203</v>
      </c>
      <c r="S35" s="74" t="s">
        <v>283</v>
      </c>
      <c r="T35" s="74" t="s">
        <v>195</v>
      </c>
      <c r="U35" s="74"/>
      <c r="V35" s="74"/>
      <c r="W35" s="74"/>
      <c r="X35" s="74"/>
      <c r="Y35" s="74"/>
      <c r="Z35" s="74"/>
      <c r="AA35" s="69"/>
    </row>
    <row r="36" spans="1:29" ht="170">
      <c r="D36" s="197" t="s">
        <v>284</v>
      </c>
      <c r="E36" s="196" t="s">
        <v>285</v>
      </c>
      <c r="F36" s="74" t="s">
        <v>286</v>
      </c>
      <c r="G36" s="74" t="s">
        <v>278</v>
      </c>
      <c r="H36" s="74" t="s">
        <v>287</v>
      </c>
      <c r="I36" s="74"/>
      <c r="J36" s="74"/>
      <c r="K36" s="74"/>
      <c r="L36" s="74" t="s">
        <v>288</v>
      </c>
      <c r="M36" s="74" t="s">
        <v>289</v>
      </c>
      <c r="N36" s="74" t="s">
        <v>290</v>
      </c>
      <c r="O36" s="74"/>
      <c r="P36" s="74"/>
      <c r="Q36" s="74"/>
      <c r="R36" s="74" t="s">
        <v>222</v>
      </c>
      <c r="S36" s="74" t="s">
        <v>291</v>
      </c>
      <c r="T36" s="74" t="s">
        <v>287</v>
      </c>
      <c r="U36" s="74"/>
      <c r="V36" s="74"/>
      <c r="W36" s="74"/>
      <c r="X36" s="74"/>
      <c r="Y36" s="74"/>
      <c r="Z36" s="74"/>
      <c r="AA36" s="69"/>
    </row>
    <row r="37" spans="1:29" ht="136">
      <c r="D37" s="197" t="s">
        <v>292</v>
      </c>
      <c r="E37" s="196" t="s">
        <v>293</v>
      </c>
      <c r="F37" s="74" t="s">
        <v>294</v>
      </c>
      <c r="G37" s="74" t="s">
        <v>278</v>
      </c>
      <c r="H37" s="74" t="s">
        <v>295</v>
      </c>
      <c r="I37" s="74"/>
      <c r="J37" s="74"/>
      <c r="K37" s="74"/>
      <c r="L37" s="74" t="s">
        <v>296</v>
      </c>
      <c r="M37" s="74" t="s">
        <v>297</v>
      </c>
      <c r="N37" s="74" t="s">
        <v>298</v>
      </c>
      <c r="O37" s="74"/>
      <c r="P37" s="74"/>
      <c r="Q37" s="74"/>
      <c r="R37" s="74" t="s">
        <v>203</v>
      </c>
      <c r="S37" s="74" t="s">
        <v>299</v>
      </c>
      <c r="T37" s="74"/>
      <c r="U37" s="74"/>
      <c r="V37" s="74"/>
      <c r="W37" s="74"/>
      <c r="X37" s="74"/>
      <c r="Y37" s="74"/>
      <c r="Z37" s="74"/>
      <c r="AA37" s="69"/>
    </row>
    <row r="38" spans="1:29" ht="136">
      <c r="D38" s="198" t="s">
        <v>300</v>
      </c>
      <c r="E38" s="196" t="s">
        <v>301</v>
      </c>
      <c r="F38" s="74" t="s">
        <v>302</v>
      </c>
      <c r="G38" s="74"/>
      <c r="H38" s="74" t="s">
        <v>303</v>
      </c>
      <c r="I38" s="74"/>
      <c r="J38" s="74"/>
      <c r="K38" s="74"/>
      <c r="L38" s="74"/>
      <c r="M38" s="74" t="s">
        <v>258</v>
      </c>
      <c r="N38" s="74" t="s">
        <v>203</v>
      </c>
      <c r="O38" s="74"/>
      <c r="P38" s="74"/>
      <c r="Q38" s="74"/>
      <c r="R38" s="74" t="s">
        <v>222</v>
      </c>
      <c r="S38" s="74" t="s">
        <v>203</v>
      </c>
      <c r="T38" s="74" t="s">
        <v>222</v>
      </c>
      <c r="U38" s="74"/>
      <c r="V38" s="74"/>
      <c r="W38" s="74"/>
      <c r="X38" s="74"/>
      <c r="Y38" s="74"/>
      <c r="Z38" s="74"/>
      <c r="AA38" s="69"/>
    </row>
    <row r="39" spans="1:29" ht="17" thickBot="1">
      <c r="D39" s="194"/>
      <c r="E39" s="19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69"/>
    </row>
    <row r="40" spans="1:29"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69"/>
    </row>
    <row r="41" spans="1:29"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69"/>
    </row>
    <row r="42" spans="1:29"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69"/>
      <c r="AC42" s="69"/>
    </row>
    <row r="43" spans="1:29"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</row>
    <row r="44" spans="1:29"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</row>
    <row r="45" spans="1:29"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</row>
    <row r="46" spans="1:29"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</row>
    <row r="47" spans="1:29"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</row>
    <row r="48" spans="1:29"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</row>
    <row r="49" spans="8:29"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</row>
    <row r="50" spans="8:29"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</row>
    <row r="51" spans="8:29"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</row>
    <row r="52" spans="8:29"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</row>
    <row r="53" spans="8:29"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</row>
    <row r="54" spans="8:29"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</row>
    <row r="55" spans="8:29"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</row>
    <row r="56" spans="8:29"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</row>
    <row r="57" spans="8:29"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</row>
    <row r="58" spans="8:29"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</row>
    <row r="59" spans="8:29"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</row>
    <row r="60" spans="8:29"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</row>
    <row r="61" spans="8:29"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</row>
    <row r="62" spans="8:29"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</row>
    <row r="63" spans="8:29"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</row>
    <row r="64" spans="8:29"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</row>
    <row r="65" spans="8:29"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</row>
    <row r="66" spans="8:29"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</row>
    <row r="67" spans="8:29"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</row>
    <row r="68" spans="8:29"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</row>
    <row r="69" spans="8:29"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</row>
    <row r="70" spans="8:29"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</row>
    <row r="71" spans="8:29"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</row>
    <row r="72" spans="8:29"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</row>
    <row r="73" spans="8:29"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</row>
    <row r="74" spans="8:29"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</row>
    <row r="75" spans="8:29"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</row>
    <row r="76" spans="8:29"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</row>
    <row r="77" spans="8:29"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</row>
    <row r="78" spans="8:29"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</row>
    <row r="79" spans="8:29"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</row>
    <row r="80" spans="8:29"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</row>
    <row r="81" spans="8:29"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</row>
    <row r="82" spans="8:29"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</row>
    <row r="83" spans="8:29"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</row>
    <row r="84" spans="8:29"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</row>
    <row r="85" spans="8:29"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</row>
    <row r="86" spans="8:29"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</row>
    <row r="87" spans="8:29"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</row>
    <row r="88" spans="8:29"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</row>
    <row r="89" spans="8:29"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</row>
  </sheetData>
  <mergeCells count="12">
    <mergeCell ref="B20:B21"/>
    <mergeCell ref="C20:C21"/>
    <mergeCell ref="D21:E21"/>
    <mergeCell ref="D30:E30"/>
    <mergeCell ref="C4:C9"/>
    <mergeCell ref="D4:D9"/>
    <mergeCell ref="F17:J17"/>
    <mergeCell ref="F12:J12"/>
    <mergeCell ref="F13:J13"/>
    <mergeCell ref="F14:J14"/>
    <mergeCell ref="F15:M15"/>
    <mergeCell ref="F16:J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5D09-7B01-924C-8792-96B8E3C19C05}">
  <sheetPr codeName="Sheet2"/>
  <dimension ref="A1:AQ68"/>
  <sheetViews>
    <sheetView workbookViewId="0">
      <selection activeCell="A5" sqref="A5"/>
    </sheetView>
  </sheetViews>
  <sheetFormatPr baseColWidth="10" defaultColWidth="11" defaultRowHeight="16"/>
  <cols>
    <col min="1" max="1" width="25" bestFit="1" customWidth="1"/>
    <col min="2" max="2" width="19.5" style="74" bestFit="1" customWidth="1"/>
    <col min="3" max="3" width="9.6640625" style="74" customWidth="1"/>
    <col min="4" max="4" width="11" customWidth="1"/>
    <col min="5" max="5" width="8.5" customWidth="1"/>
    <col min="6" max="6" width="10.6640625" customWidth="1"/>
    <col min="7" max="7" width="9" bestFit="1" customWidth="1"/>
    <col min="8" max="8" width="16.6640625" bestFit="1" customWidth="1"/>
    <col min="9" max="9" width="16" bestFit="1" customWidth="1"/>
    <col min="10" max="10" width="16.6640625" bestFit="1" customWidth="1"/>
    <col min="11" max="12" width="13.5" bestFit="1" customWidth="1"/>
    <col min="13" max="13" width="10.1640625" bestFit="1" customWidth="1"/>
    <col min="14" max="14" width="10.33203125" bestFit="1" customWidth="1"/>
    <col min="15" max="15" width="7" bestFit="1" customWidth="1"/>
    <col min="16" max="16" width="7.5" bestFit="1" customWidth="1"/>
    <col min="17" max="17" width="7.83203125" bestFit="1" customWidth="1"/>
    <col min="18" max="18" width="9.1640625" bestFit="1" customWidth="1"/>
    <col min="19" max="19" width="10" bestFit="1" customWidth="1"/>
    <col min="20" max="20" width="9.33203125" bestFit="1" customWidth="1"/>
    <col min="21" max="21" width="10.6640625" bestFit="1" customWidth="1"/>
    <col min="22" max="22" width="11.1640625" customWidth="1"/>
    <col min="23" max="23" width="9.33203125" bestFit="1" customWidth="1"/>
    <col min="24" max="24" width="10" bestFit="1" customWidth="1"/>
    <col min="25" max="25" width="10.6640625" bestFit="1" customWidth="1"/>
    <col min="26" max="26" width="10" customWidth="1"/>
    <col min="27" max="27" width="13.1640625" customWidth="1"/>
    <col min="28" max="28" width="9" bestFit="1" customWidth="1"/>
    <col min="29" max="29" width="21" bestFit="1" customWidth="1"/>
    <col min="30" max="30" width="11.6640625" bestFit="1" customWidth="1"/>
    <col min="31" max="31" width="9.33203125" bestFit="1" customWidth="1"/>
    <col min="32" max="32" width="9.33203125" customWidth="1"/>
    <col min="33" max="33" width="6.1640625" bestFit="1" customWidth="1"/>
    <col min="35" max="35" width="13.6640625" bestFit="1" customWidth="1"/>
    <col min="36" max="36" width="9.1640625" bestFit="1" customWidth="1"/>
    <col min="37" max="37" width="11.6640625" bestFit="1" customWidth="1"/>
    <col min="38" max="38" width="13.6640625" bestFit="1" customWidth="1"/>
    <col min="39" max="39" width="19" bestFit="1" customWidth="1"/>
    <col min="40" max="40" width="17.33203125" bestFit="1" customWidth="1"/>
    <col min="41" max="41" width="11" customWidth="1"/>
    <col min="42" max="42" width="12.1640625" customWidth="1"/>
    <col min="43" max="43" width="9.33203125" bestFit="1" customWidth="1"/>
    <col min="44" max="44" width="6.5" bestFit="1" customWidth="1"/>
    <col min="45" max="45" width="5" bestFit="1" customWidth="1"/>
    <col min="46" max="46" width="12.1640625" bestFit="1" customWidth="1"/>
    <col min="47" max="47" width="7" bestFit="1" customWidth="1"/>
    <col min="48" max="48" width="6.6640625" bestFit="1" customWidth="1"/>
    <col min="49" max="49" width="7.6640625" bestFit="1" customWidth="1"/>
    <col min="50" max="50" width="18" bestFit="1" customWidth="1"/>
    <col min="51" max="51" width="15.83203125" bestFit="1" customWidth="1"/>
    <col min="52" max="52" width="20.83203125" bestFit="1" customWidth="1"/>
    <col min="53" max="53" width="11.33203125" bestFit="1" customWidth="1"/>
    <col min="54" max="54" width="12.83203125" bestFit="1" customWidth="1"/>
    <col min="55" max="55" width="20.1640625" bestFit="1" customWidth="1"/>
    <col min="56" max="56" width="6" bestFit="1" customWidth="1"/>
    <col min="57" max="57" width="19.5" bestFit="1" customWidth="1"/>
    <col min="58" max="58" width="10.5" bestFit="1" customWidth="1"/>
    <col min="59" max="59" width="9.5" bestFit="1" customWidth="1"/>
    <col min="60" max="60" width="9.6640625" bestFit="1" customWidth="1"/>
    <col min="61" max="62" width="9.33203125" bestFit="1" customWidth="1"/>
    <col min="63" max="63" width="14.83203125" bestFit="1" customWidth="1"/>
    <col min="64" max="64" width="11.83203125" bestFit="1" customWidth="1"/>
    <col min="65" max="65" width="10.6640625" bestFit="1" customWidth="1"/>
    <col min="66" max="66" width="13.5" bestFit="1" customWidth="1"/>
    <col min="67" max="67" width="13.6640625" bestFit="1" customWidth="1"/>
    <col min="68" max="68" width="15.1640625" bestFit="1" customWidth="1"/>
    <col min="69" max="69" width="16.6640625" bestFit="1" customWidth="1"/>
    <col min="70" max="70" width="6.33203125" bestFit="1" customWidth="1"/>
    <col min="71" max="71" width="6.83203125" bestFit="1" customWidth="1"/>
    <col min="72" max="72" width="5.6640625" bestFit="1" customWidth="1"/>
    <col min="73" max="73" width="11.33203125" bestFit="1" customWidth="1"/>
    <col min="74" max="74" width="14.5" bestFit="1" customWidth="1"/>
    <col min="75" max="75" width="12.33203125" bestFit="1" customWidth="1"/>
    <col min="76" max="76" width="12.6640625" bestFit="1" customWidth="1"/>
    <col min="77" max="77" width="12.33203125" bestFit="1" customWidth="1"/>
    <col min="78" max="78" width="13.1640625" bestFit="1" customWidth="1"/>
    <col min="79" max="79" width="8" bestFit="1" customWidth="1"/>
    <col min="80" max="80" width="9.1640625" bestFit="1" customWidth="1"/>
    <col min="81" max="81" width="7" bestFit="1" customWidth="1"/>
    <col min="82" max="82" width="11.1640625" bestFit="1" customWidth="1"/>
    <col min="83" max="83" width="10" bestFit="1" customWidth="1"/>
    <col min="84" max="84" width="10.1640625" bestFit="1" customWidth="1"/>
    <col min="85" max="85" width="7" bestFit="1" customWidth="1"/>
  </cols>
  <sheetData>
    <row r="1" spans="1:14" ht="51">
      <c r="A1" s="158" t="s">
        <v>4</v>
      </c>
      <c r="B1" s="74" t="s">
        <v>149</v>
      </c>
      <c r="D1" s="69"/>
      <c r="E1" s="155"/>
      <c r="F1" s="87"/>
      <c r="J1" s="164" t="s">
        <v>150</v>
      </c>
      <c r="K1" s="183">
        <v>5</v>
      </c>
      <c r="L1" s="80"/>
      <c r="M1" s="80"/>
    </row>
    <row r="2" spans="1:14">
      <c r="D2" s="69"/>
      <c r="E2" s="155"/>
      <c r="F2" s="87"/>
      <c r="J2" s="73"/>
      <c r="K2" s="73"/>
      <c r="L2" s="80"/>
      <c r="M2" s="80"/>
    </row>
    <row r="3" spans="1:14" ht="83" customHeight="1" thickBot="1">
      <c r="A3" s="158" t="s">
        <v>151</v>
      </c>
      <c r="B3" s="203"/>
      <c r="C3" s="203"/>
      <c r="D3" s="172"/>
      <c r="E3" s="173"/>
      <c r="F3" s="174" t="s">
        <v>152</v>
      </c>
      <c r="G3" s="174" t="s">
        <v>153</v>
      </c>
      <c r="H3" s="175"/>
      <c r="I3" s="175"/>
      <c r="J3" s="176" t="s">
        <v>154</v>
      </c>
      <c r="K3" s="176" t="s">
        <v>155</v>
      </c>
      <c r="L3" s="177"/>
      <c r="M3" s="178" t="s">
        <v>156</v>
      </c>
    </row>
    <row r="4" spans="1:14">
      <c r="A4" s="159" t="s">
        <v>22</v>
      </c>
      <c r="D4" s="246" t="s">
        <v>55</v>
      </c>
      <c r="E4" s="248">
        <f>SUMPRODUCT(F4:F9, J4:J9)</f>
        <v>58.764747231627346</v>
      </c>
      <c r="F4" s="212">
        <v>6</v>
      </c>
      <c r="G4" s="119">
        <f t="shared" ref="G4:G9" si="0">$K$1*F4</f>
        <v>30</v>
      </c>
      <c r="I4" t="s">
        <v>157</v>
      </c>
      <c r="J4" s="80">
        <f>AVERAGEIFS('Master Variety List'!E:E, 'Master Variety List'!A:A, "*Late Spring*", 'Master Variety List'!B:B, "*Focal*")</f>
        <v>3.5614583333333334</v>
      </c>
      <c r="K4" s="181">
        <v>500</v>
      </c>
      <c r="L4" s="80"/>
      <c r="M4" s="166">
        <f t="shared" ref="M4" si="1">K4-G4</f>
        <v>470</v>
      </c>
    </row>
    <row r="5" spans="1:14">
      <c r="A5" s="160" t="s">
        <v>120</v>
      </c>
      <c r="D5" s="246"/>
      <c r="E5" s="248"/>
      <c r="F5" s="212">
        <v>7.0000219999999969</v>
      </c>
      <c r="G5" s="119">
        <f t="shared" si="0"/>
        <v>35.000109999999985</v>
      </c>
      <c r="I5" t="s">
        <v>158</v>
      </c>
      <c r="J5" s="80">
        <f>AVERAGEIFS('Master Variety List'!E:E, 'Master Variety List'!A:A, "*Late Spring*", 'Master Variety List'!B:B, "*Foundation*")</f>
        <v>1.6612666666666667</v>
      </c>
      <c r="K5" s="181">
        <v>1711</v>
      </c>
      <c r="L5" s="80"/>
      <c r="M5" s="166">
        <f>K5-G5</f>
        <v>1675.9998900000001</v>
      </c>
    </row>
    <row r="6" spans="1:14">
      <c r="A6" s="160" t="s">
        <v>37</v>
      </c>
      <c r="D6" s="246"/>
      <c r="E6" s="248"/>
      <c r="F6" s="212">
        <v>5</v>
      </c>
      <c r="G6" s="119">
        <f t="shared" si="0"/>
        <v>25</v>
      </c>
      <c r="I6" t="s">
        <v>159</v>
      </c>
      <c r="J6" s="80">
        <f>AVERAGEIFS('Master Variety List'!E:E, 'Master Variety List'!A:A, "*Late Spring*", 'Master Variety List'!B:B, "*Filler*")</f>
        <v>1.6491111111111112</v>
      </c>
      <c r="K6" s="181">
        <v>264</v>
      </c>
      <c r="L6" s="80"/>
      <c r="M6" s="166">
        <f>K6-G6</f>
        <v>239</v>
      </c>
    </row>
    <row r="7" spans="1:14">
      <c r="A7" s="160" t="s">
        <v>70</v>
      </c>
      <c r="D7" s="246"/>
      <c r="E7" s="248"/>
      <c r="F7" s="212">
        <v>6</v>
      </c>
      <c r="G7" s="119">
        <f t="shared" si="0"/>
        <v>30</v>
      </c>
      <c r="I7" t="s">
        <v>160</v>
      </c>
      <c r="J7" s="80">
        <f>AVERAGEIFS('Master Variety List'!E:E, 'Master Variety List'!A:A, "*Late Spring*", 'Master Variety List'!B:B, "*Float*")</f>
        <v>1.4819230769230769</v>
      </c>
      <c r="K7" s="181">
        <v>83</v>
      </c>
      <c r="L7" s="80"/>
      <c r="M7" s="166">
        <f>K7-G7</f>
        <v>53</v>
      </c>
    </row>
    <row r="8" spans="1:14">
      <c r="A8" s="160" t="s">
        <v>71</v>
      </c>
      <c r="D8" s="246"/>
      <c r="E8" s="248"/>
      <c r="F8" s="212">
        <v>0</v>
      </c>
      <c r="G8" s="119">
        <f t="shared" si="0"/>
        <v>0</v>
      </c>
      <c r="I8" t="s">
        <v>161</v>
      </c>
      <c r="J8" s="80">
        <f>AVERAGEIFS('Master Variety List'!E:E, 'Master Variety List'!A:A, "*Late Spring*", 'Master Variety List'!B:B, "*Finisher*")</f>
        <v>1.7894791666666667</v>
      </c>
      <c r="K8" s="181">
        <v>30</v>
      </c>
      <c r="L8" s="80"/>
      <c r="M8" s="166">
        <f>K8-G8</f>
        <v>30</v>
      </c>
    </row>
    <row r="9" spans="1:14">
      <c r="A9" s="160" t="s">
        <v>72</v>
      </c>
      <c r="D9" s="247"/>
      <c r="E9" s="249"/>
      <c r="F9" s="167">
        <v>6</v>
      </c>
      <c r="G9" s="168">
        <f t="shared" si="0"/>
        <v>30</v>
      </c>
      <c r="H9" s="169"/>
      <c r="I9" s="169" t="s">
        <v>162</v>
      </c>
      <c r="J9" s="170">
        <f>AVERAGEIFS('Master Variety List'!E:E, 'Master Variety List'!A:A, "*Late Spring*", 'Master Variety List'!B:B, "*Foliage*")</f>
        <v>1.4383333333333335</v>
      </c>
      <c r="K9" s="182">
        <v>1000</v>
      </c>
      <c r="L9" s="170"/>
      <c r="M9" s="171">
        <f>K9-G9</f>
        <v>970</v>
      </c>
    </row>
    <row r="10" spans="1:14">
      <c r="A10" s="160" t="s">
        <v>73</v>
      </c>
      <c r="D10" s="69"/>
      <c r="E10" s="155"/>
      <c r="F10" s="87">
        <f>SUM(F4:F9)</f>
        <v>30.000021999999998</v>
      </c>
      <c r="J10" s="80"/>
      <c r="K10" s="154"/>
      <c r="L10" s="80"/>
      <c r="M10" s="154"/>
    </row>
    <row r="11" spans="1:14">
      <c r="A11" s="160" t="s">
        <v>74</v>
      </c>
    </row>
    <row r="12" spans="1:14" ht="21">
      <c r="A12" s="159" t="s">
        <v>26</v>
      </c>
      <c r="G12" s="250" t="s">
        <v>304</v>
      </c>
      <c r="H12" s="250"/>
      <c r="I12" s="250"/>
      <c r="J12" s="250"/>
      <c r="K12" s="250"/>
    </row>
    <row r="13" spans="1:14" ht="19">
      <c r="A13" s="160" t="s">
        <v>57</v>
      </c>
      <c r="G13" s="241" t="s">
        <v>164</v>
      </c>
      <c r="H13" s="241"/>
      <c r="I13" s="241"/>
      <c r="J13" s="241"/>
      <c r="K13" s="241"/>
      <c r="L13" s="159"/>
      <c r="M13" s="159"/>
      <c r="N13" s="159"/>
    </row>
    <row r="14" spans="1:14" ht="19">
      <c r="A14" s="160" t="s">
        <v>58</v>
      </c>
      <c r="G14" s="241" t="s">
        <v>165</v>
      </c>
      <c r="H14" s="241"/>
      <c r="I14" s="241"/>
      <c r="J14" s="241"/>
      <c r="K14" s="241"/>
      <c r="L14" s="159"/>
      <c r="M14" s="159"/>
      <c r="N14" s="159"/>
    </row>
    <row r="15" spans="1:14" ht="19">
      <c r="A15" s="160" t="s">
        <v>62</v>
      </c>
      <c r="G15" s="241" t="s">
        <v>166</v>
      </c>
      <c r="H15" s="241"/>
      <c r="I15" s="241"/>
      <c r="J15" s="241"/>
      <c r="K15" s="241"/>
      <c r="L15" s="241"/>
      <c r="M15" s="241"/>
      <c r="N15" s="241"/>
    </row>
    <row r="16" spans="1:14" ht="19">
      <c r="A16" s="160" t="s">
        <v>37</v>
      </c>
      <c r="G16" s="241" t="s">
        <v>167</v>
      </c>
      <c r="H16" s="241"/>
      <c r="I16" s="241"/>
      <c r="J16" s="241"/>
      <c r="K16" s="241"/>
      <c r="L16" s="159"/>
      <c r="M16" s="159"/>
      <c r="N16" s="159"/>
    </row>
    <row r="17" spans="1:42" ht="19">
      <c r="A17" s="160" t="s">
        <v>67</v>
      </c>
      <c r="G17" s="241" t="s">
        <v>168</v>
      </c>
      <c r="H17" s="241"/>
      <c r="I17" s="241"/>
      <c r="J17" s="241"/>
      <c r="K17" s="241"/>
      <c r="L17" s="159"/>
      <c r="M17" s="159"/>
      <c r="N17" s="159"/>
    </row>
    <row r="18" spans="1:42">
      <c r="A18" s="160" t="s">
        <v>68</v>
      </c>
    </row>
    <row r="19" spans="1:42" ht="42" customHeight="1">
      <c r="A19" s="160" t="s">
        <v>118</v>
      </c>
      <c r="F19" t="s">
        <v>169</v>
      </c>
      <c r="J19" s="119" t="s">
        <v>170</v>
      </c>
      <c r="K19" s="119"/>
      <c r="L19" s="119"/>
      <c r="M19" s="119"/>
      <c r="N19" s="119"/>
      <c r="O19" s="119"/>
      <c r="P19" s="119"/>
      <c r="Q19" s="119"/>
      <c r="V19" s="119" t="s">
        <v>171</v>
      </c>
      <c r="W19" s="119"/>
      <c r="AA19" s="119" t="s">
        <v>172</v>
      </c>
      <c r="AB19" s="119"/>
      <c r="AC19" s="119"/>
      <c r="AD19" s="119"/>
      <c r="AE19" s="119"/>
      <c r="AF19" s="119"/>
      <c r="AG19" s="119"/>
      <c r="AH19" s="119" t="s">
        <v>173</v>
      </c>
      <c r="AJ19" s="119"/>
      <c r="AK19" s="119"/>
      <c r="AL19" s="119"/>
      <c r="AM19" s="119"/>
      <c r="AN19" s="119" t="s">
        <v>174</v>
      </c>
      <c r="AO19" s="119"/>
    </row>
    <row r="20" spans="1:42" ht="32" customHeight="1" thickBot="1">
      <c r="A20" s="160" t="s">
        <v>31</v>
      </c>
      <c r="B20" s="243" t="s">
        <v>175</v>
      </c>
      <c r="C20" s="243" t="s">
        <v>176</v>
      </c>
      <c r="F20" s="71" t="s">
        <v>120</v>
      </c>
      <c r="G20" s="71" t="s">
        <v>305</v>
      </c>
      <c r="H20" s="71" t="s">
        <v>306</v>
      </c>
      <c r="I20" s="71" t="s">
        <v>32</v>
      </c>
      <c r="J20" s="71" t="s">
        <v>307</v>
      </c>
      <c r="K20" s="71" t="s">
        <v>62</v>
      </c>
      <c r="L20" s="71" t="s">
        <v>308</v>
      </c>
      <c r="M20" s="71" t="s">
        <v>67</v>
      </c>
      <c r="N20" s="71" t="s">
        <v>68</v>
      </c>
      <c r="O20" s="71" t="s">
        <v>118</v>
      </c>
      <c r="P20" s="71" t="s">
        <v>309</v>
      </c>
      <c r="Q20" s="71" t="s">
        <v>77</v>
      </c>
      <c r="R20" s="71" t="s">
        <v>310</v>
      </c>
      <c r="S20" s="71" t="s">
        <v>311</v>
      </c>
      <c r="T20" s="71" t="s">
        <v>40</v>
      </c>
      <c r="U20" s="71" t="s">
        <v>95</v>
      </c>
      <c r="V20" s="71" t="s">
        <v>61</v>
      </c>
      <c r="W20" s="71" t="s">
        <v>312</v>
      </c>
      <c r="X20" s="71" t="s">
        <v>97</v>
      </c>
      <c r="Y20" s="71" t="s">
        <v>96</v>
      </c>
      <c r="Z20" s="71" t="s">
        <v>39</v>
      </c>
      <c r="AA20" s="71" t="s">
        <v>42</v>
      </c>
      <c r="AB20" s="71" t="s">
        <v>313</v>
      </c>
      <c r="AC20" s="71" t="s">
        <v>314</v>
      </c>
      <c r="AD20" s="71" t="s">
        <v>65</v>
      </c>
      <c r="AE20" s="71" t="s">
        <v>315</v>
      </c>
      <c r="AF20" s="71" t="s">
        <v>45</v>
      </c>
      <c r="AG20" s="71" t="s">
        <v>60</v>
      </c>
      <c r="AH20" s="71" t="s">
        <v>117</v>
      </c>
      <c r="AI20" s="71" t="s">
        <v>107</v>
      </c>
      <c r="AJ20" s="71" t="s">
        <v>56</v>
      </c>
      <c r="AK20" s="71" t="s">
        <v>316</v>
      </c>
      <c r="AL20" s="71" t="s">
        <v>137</v>
      </c>
      <c r="AM20" s="71" t="s">
        <v>115</v>
      </c>
      <c r="AN20" s="71" t="s">
        <v>53</v>
      </c>
      <c r="AO20" s="71" t="s">
        <v>133</v>
      </c>
      <c r="AP20" s="71" t="s">
        <v>52</v>
      </c>
    </row>
    <row r="21" spans="1:42" ht="21" thickTop="1" thickBot="1">
      <c r="A21" s="160" t="s">
        <v>80</v>
      </c>
      <c r="B21" s="243"/>
      <c r="C21" s="243"/>
      <c r="D21" s="244" t="s">
        <v>55</v>
      </c>
      <c r="E21" s="245"/>
    </row>
    <row r="22" spans="1:42" ht="87" thickTop="1" thickBot="1">
      <c r="A22" s="160" t="s">
        <v>32</v>
      </c>
      <c r="D22" s="195" t="s">
        <v>317</v>
      </c>
      <c r="E22" s="194" t="s">
        <v>318</v>
      </c>
    </row>
    <row r="23" spans="1:42" ht="35" thickBot="1">
      <c r="A23" s="160" t="s">
        <v>77</v>
      </c>
      <c r="D23" s="195" t="s">
        <v>199</v>
      </c>
      <c r="E23" s="194" t="s">
        <v>319</v>
      </c>
    </row>
    <row r="24" spans="1:42" ht="52" thickBot="1">
      <c r="A24" s="160" t="s">
        <v>78</v>
      </c>
      <c r="B24" s="74" t="s">
        <v>320</v>
      </c>
      <c r="D24" s="195" t="s">
        <v>208</v>
      </c>
      <c r="E24" s="194" t="s">
        <v>321</v>
      </c>
    </row>
    <row r="25" spans="1:42" ht="86" thickBot="1">
      <c r="A25" s="160" t="s">
        <v>122</v>
      </c>
      <c r="D25" s="195" t="s">
        <v>223</v>
      </c>
      <c r="E25" s="194" t="s">
        <v>322</v>
      </c>
    </row>
    <row r="26" spans="1:42" ht="120" thickBot="1">
      <c r="A26" s="160" t="s">
        <v>81</v>
      </c>
      <c r="D26" s="195" t="s">
        <v>228</v>
      </c>
      <c r="E26" s="194" t="s">
        <v>323</v>
      </c>
    </row>
    <row r="27" spans="1:42" ht="90" customHeight="1">
      <c r="A27" s="159" t="s">
        <v>33</v>
      </c>
      <c r="D27" s="197" t="s">
        <v>237</v>
      </c>
      <c r="E27" s="196" t="s">
        <v>238</v>
      </c>
    </row>
    <row r="28" spans="1:42" ht="48" customHeight="1" thickBot="1">
      <c r="A28" s="160" t="s">
        <v>61</v>
      </c>
      <c r="D28" s="195" t="s">
        <v>215</v>
      </c>
      <c r="E28" s="194" t="s">
        <v>216</v>
      </c>
    </row>
    <row r="29" spans="1:42" ht="22" customHeight="1" thickTop="1" thickBot="1">
      <c r="A29" s="160" t="s">
        <v>95</v>
      </c>
      <c r="D29" s="244" t="s">
        <v>55</v>
      </c>
      <c r="E29" s="245"/>
    </row>
    <row r="30" spans="1:42" ht="53" thickTop="1" thickBot="1">
      <c r="A30" s="160" t="s">
        <v>69</v>
      </c>
      <c r="D30" s="195" t="s">
        <v>245</v>
      </c>
      <c r="E30" s="194" t="s">
        <v>324</v>
      </c>
    </row>
    <row r="31" spans="1:42" ht="35" thickBot="1">
      <c r="A31" s="160" t="s">
        <v>39</v>
      </c>
      <c r="D31" s="195" t="s">
        <v>254</v>
      </c>
      <c r="E31" s="194" t="s">
        <v>203</v>
      </c>
    </row>
    <row r="32" spans="1:42" ht="35" thickBot="1">
      <c r="A32" s="160" t="s">
        <v>97</v>
      </c>
      <c r="C32" s="74" t="s">
        <v>325</v>
      </c>
      <c r="D32" s="195" t="s">
        <v>260</v>
      </c>
      <c r="E32" s="194" t="s">
        <v>326</v>
      </c>
    </row>
    <row r="33" spans="1:43" ht="69" thickBot="1">
      <c r="A33" s="160" t="s">
        <v>40</v>
      </c>
      <c r="D33" s="195" t="s">
        <v>267</v>
      </c>
      <c r="E33" s="194" t="s">
        <v>327</v>
      </c>
    </row>
    <row r="34" spans="1:43" ht="85">
      <c r="A34" s="160" t="s">
        <v>96</v>
      </c>
      <c r="C34" s="74" t="s">
        <v>325</v>
      </c>
      <c r="D34" s="197" t="s">
        <v>292</v>
      </c>
      <c r="E34" s="196" t="s">
        <v>328</v>
      </c>
    </row>
    <row r="35" spans="1:43" ht="51">
      <c r="A35" s="160" t="s">
        <v>66</v>
      </c>
      <c r="B35" s="74" t="s">
        <v>329</v>
      </c>
      <c r="D35" s="197" t="s">
        <v>330</v>
      </c>
      <c r="E35" s="197" t="s">
        <v>331</v>
      </c>
      <c r="F35" s="74" t="s">
        <v>332</v>
      </c>
      <c r="G35" s="200" t="s">
        <v>333</v>
      </c>
      <c r="H35" s="74" t="s">
        <v>334</v>
      </c>
      <c r="I35" s="74" t="s">
        <v>335</v>
      </c>
      <c r="J35" s="74" t="s">
        <v>336</v>
      </c>
      <c r="K35" s="74" t="s">
        <v>332</v>
      </c>
      <c r="L35" s="74" t="s">
        <v>337</v>
      </c>
      <c r="M35" s="74" t="s">
        <v>332</v>
      </c>
      <c r="N35" s="74" t="s">
        <v>332</v>
      </c>
      <c r="O35" s="74" t="s">
        <v>279</v>
      </c>
      <c r="P35" s="74" t="s">
        <v>338</v>
      </c>
      <c r="Q35" s="200" t="s">
        <v>339</v>
      </c>
      <c r="R35" s="74" t="s">
        <v>332</v>
      </c>
      <c r="S35" s="74" t="s">
        <v>332</v>
      </c>
      <c r="T35" s="74" t="s">
        <v>340</v>
      </c>
      <c r="U35" s="74" t="s">
        <v>341</v>
      </c>
      <c r="V35" s="200" t="s">
        <v>342</v>
      </c>
      <c r="W35" s="74" t="s">
        <v>332</v>
      </c>
      <c r="X35" s="74" t="s">
        <v>332</v>
      </c>
      <c r="Y35" s="74" t="s">
        <v>332</v>
      </c>
      <c r="Z35" s="74" t="s">
        <v>343</v>
      </c>
      <c r="AA35" s="74" t="s">
        <v>332</v>
      </c>
      <c r="AB35" s="74" t="s">
        <v>332</v>
      </c>
      <c r="AC35" s="74" t="s">
        <v>332</v>
      </c>
      <c r="AD35" s="74" t="s">
        <v>344</v>
      </c>
      <c r="AE35" s="74" t="s">
        <v>345</v>
      </c>
      <c r="AF35" s="74" t="s">
        <v>332</v>
      </c>
      <c r="AG35" s="74" t="s">
        <v>346</v>
      </c>
      <c r="AH35" s="74" t="s">
        <v>342</v>
      </c>
      <c r="AI35" s="74" t="s">
        <v>342</v>
      </c>
      <c r="AJ35" s="74" t="s">
        <v>332</v>
      </c>
      <c r="AK35" s="74" t="s">
        <v>332</v>
      </c>
      <c r="AL35" s="74" t="s">
        <v>342</v>
      </c>
      <c r="AM35" s="74" t="s">
        <v>342</v>
      </c>
      <c r="AN35" s="74" t="s">
        <v>342</v>
      </c>
      <c r="AO35" s="74" t="s">
        <v>342</v>
      </c>
      <c r="AP35" s="74" t="s">
        <v>342</v>
      </c>
      <c r="AQ35" s="74" t="s">
        <v>342</v>
      </c>
    </row>
    <row r="36" spans="1:43">
      <c r="A36" s="160" t="s">
        <v>38</v>
      </c>
    </row>
    <row r="37" spans="1:43">
      <c r="A37" s="159" t="s">
        <v>187</v>
      </c>
    </row>
    <row r="38" spans="1:43">
      <c r="A38" s="160" t="s">
        <v>42</v>
      </c>
    </row>
    <row r="39" spans="1:43">
      <c r="A39" s="160" t="s">
        <v>43</v>
      </c>
    </row>
    <row r="40" spans="1:43">
      <c r="A40" s="160" t="s">
        <v>65</v>
      </c>
    </row>
    <row r="41" spans="1:43">
      <c r="A41" s="160" t="s">
        <v>44</v>
      </c>
    </row>
    <row r="42" spans="1:43">
      <c r="A42" s="160" t="s">
        <v>45</v>
      </c>
    </row>
    <row r="43" spans="1:43">
      <c r="A43" s="160" t="s">
        <v>104</v>
      </c>
    </row>
    <row r="44" spans="1:43">
      <c r="A44" s="160" t="s">
        <v>103</v>
      </c>
    </row>
    <row r="45" spans="1:43">
      <c r="A45" s="159" t="s">
        <v>49</v>
      </c>
    </row>
    <row r="46" spans="1:43">
      <c r="A46" s="160" t="s">
        <v>56</v>
      </c>
    </row>
    <row r="47" spans="1:43">
      <c r="A47" s="160" t="s">
        <v>59</v>
      </c>
    </row>
    <row r="48" spans="1:43">
      <c r="A48" s="160" t="s">
        <v>60</v>
      </c>
    </row>
    <row r="49" spans="1:1">
      <c r="A49" s="160" t="s">
        <v>120</v>
      </c>
    </row>
    <row r="50" spans="1:1">
      <c r="A50" s="160" t="s">
        <v>63</v>
      </c>
    </row>
    <row r="51" spans="1:1">
      <c r="A51" s="160" t="s">
        <v>115</v>
      </c>
    </row>
    <row r="52" spans="1:1">
      <c r="A52" s="160" t="s">
        <v>117</v>
      </c>
    </row>
    <row r="53" spans="1:1">
      <c r="A53" s="160" t="s">
        <v>39</v>
      </c>
    </row>
    <row r="54" spans="1:1">
      <c r="A54" s="160" t="s">
        <v>75</v>
      </c>
    </row>
    <row r="55" spans="1:1">
      <c r="A55" s="160" t="s">
        <v>121</v>
      </c>
    </row>
    <row r="56" spans="1:1">
      <c r="A56" s="160" t="s">
        <v>119</v>
      </c>
    </row>
    <row r="57" spans="1:1">
      <c r="A57" s="159" t="s">
        <v>51</v>
      </c>
    </row>
    <row r="58" spans="1:1">
      <c r="A58" s="160" t="s">
        <v>53</v>
      </c>
    </row>
    <row r="59" spans="1:1">
      <c r="A59" s="160" t="s">
        <v>64</v>
      </c>
    </row>
    <row r="60" spans="1:1">
      <c r="A60" s="160" t="s">
        <v>137</v>
      </c>
    </row>
    <row r="61" spans="1:1">
      <c r="A61" s="160" t="s">
        <v>132</v>
      </c>
    </row>
    <row r="62" spans="1:1">
      <c r="A62" s="160" t="s">
        <v>133</v>
      </c>
    </row>
    <row r="63" spans="1:1">
      <c r="A63" s="160" t="s">
        <v>134</v>
      </c>
    </row>
    <row r="64" spans="1:1">
      <c r="A64" s="160" t="s">
        <v>141</v>
      </c>
    </row>
    <row r="65" spans="1:1">
      <c r="A65" s="160" t="s">
        <v>131</v>
      </c>
    </row>
    <row r="66" spans="1:1">
      <c r="A66" s="159" t="s">
        <v>347</v>
      </c>
    </row>
    <row r="67" spans="1:1">
      <c r="A67" s="160" t="s">
        <v>95</v>
      </c>
    </row>
    <row r="68" spans="1:1">
      <c r="A68" s="159" t="s">
        <v>274</v>
      </c>
    </row>
  </sheetData>
  <mergeCells count="12">
    <mergeCell ref="D29:E29"/>
    <mergeCell ref="D21:E21"/>
    <mergeCell ref="B20:B21"/>
    <mergeCell ref="C20:C21"/>
    <mergeCell ref="D4:D9"/>
    <mergeCell ref="E4:E9"/>
    <mergeCell ref="G12:K12"/>
    <mergeCell ref="G14:K14"/>
    <mergeCell ref="G15:N15"/>
    <mergeCell ref="G16:K16"/>
    <mergeCell ref="G17:K17"/>
    <mergeCell ref="G13:K13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53CD-052A-724B-8036-F5D64E937757}">
  <sheetPr codeName="Sheet3"/>
  <dimension ref="A1:AQ73"/>
  <sheetViews>
    <sheetView zoomScale="98" workbookViewId="0">
      <selection activeCell="E4" sqref="E4:E9"/>
    </sheetView>
  </sheetViews>
  <sheetFormatPr baseColWidth="10" defaultColWidth="11" defaultRowHeight="16"/>
  <cols>
    <col min="1" max="1" width="30.1640625" bestFit="1" customWidth="1"/>
    <col min="2" max="2" width="19.83203125" style="74" bestFit="1" customWidth="1"/>
    <col min="3" max="3" width="10" style="74" customWidth="1"/>
    <col min="4" max="4" width="11.5" style="119" customWidth="1"/>
    <col min="5" max="5" width="8.5" customWidth="1"/>
    <col min="6" max="6" width="9.33203125" bestFit="1" customWidth="1"/>
    <col min="7" max="7" width="9" bestFit="1" customWidth="1"/>
    <col min="8" max="8" width="13.33203125" customWidth="1"/>
    <col min="9" max="9" width="16" bestFit="1" customWidth="1"/>
    <col min="10" max="10" width="16.6640625" bestFit="1" customWidth="1"/>
    <col min="11" max="11" width="13.5" bestFit="1" customWidth="1"/>
    <col min="12" max="13" width="13.5" customWidth="1"/>
    <col min="14" max="14" width="13.5" bestFit="1" customWidth="1"/>
    <col min="15" max="15" width="10.1640625" bestFit="1" customWidth="1"/>
    <col min="16" max="16" width="10.33203125" bestFit="1" customWidth="1"/>
    <col min="17" max="17" width="9.6640625" customWidth="1"/>
    <col min="18" max="20" width="10.1640625" customWidth="1"/>
    <col min="21" max="21" width="9.33203125" customWidth="1"/>
    <col min="22" max="22" width="9.1640625" bestFit="1" customWidth="1"/>
    <col min="23" max="23" width="9.1640625" customWidth="1"/>
    <col min="24" max="24" width="10" bestFit="1" customWidth="1"/>
    <col min="25" max="25" width="9.33203125" bestFit="1" customWidth="1"/>
    <col min="26" max="26" width="10.6640625" bestFit="1" customWidth="1"/>
    <col min="27" max="31" width="10.6640625" customWidth="1"/>
    <col min="32" max="32" width="15.1640625" bestFit="1" customWidth="1"/>
    <col min="33" max="34" width="15.1640625" customWidth="1"/>
    <col min="35" max="35" width="9.33203125" bestFit="1" customWidth="1"/>
    <col min="36" max="36" width="10" bestFit="1" customWidth="1"/>
    <col min="37" max="39" width="10" customWidth="1"/>
    <col min="40" max="40" width="10.6640625" bestFit="1" customWidth="1"/>
    <col min="41" max="41" width="11.1640625" customWidth="1"/>
    <col min="42" max="42" width="12.1640625" customWidth="1"/>
    <col min="43" max="43" width="9" bestFit="1" customWidth="1"/>
    <col min="44" max="44" width="21" bestFit="1" customWidth="1"/>
    <col min="45" max="45" width="11.6640625" bestFit="1" customWidth="1"/>
    <col min="46" max="46" width="9.33203125" bestFit="1" customWidth="1"/>
    <col min="47" max="47" width="6.1640625" bestFit="1" customWidth="1"/>
    <col min="49" max="49" width="13.6640625" bestFit="1" customWidth="1"/>
    <col min="50" max="50" width="9.1640625" bestFit="1" customWidth="1"/>
    <col min="51" max="51" width="11.6640625" bestFit="1" customWidth="1"/>
    <col min="52" max="52" width="13.6640625" bestFit="1" customWidth="1"/>
    <col min="53" max="53" width="19" bestFit="1" customWidth="1"/>
    <col min="54" max="54" width="17.33203125" bestFit="1" customWidth="1"/>
    <col min="55" max="55" width="8.1640625" bestFit="1" customWidth="1"/>
    <col min="56" max="56" width="4.83203125" bestFit="1" customWidth="1"/>
    <col min="57" max="57" width="9.33203125" bestFit="1" customWidth="1"/>
    <col min="58" max="58" width="6.5" bestFit="1" customWidth="1"/>
    <col min="59" max="59" width="5" bestFit="1" customWidth="1"/>
    <col min="60" max="60" width="12.1640625" bestFit="1" customWidth="1"/>
    <col min="61" max="61" width="7" bestFit="1" customWidth="1"/>
    <col min="62" max="62" width="6.6640625" bestFit="1" customWidth="1"/>
    <col min="63" max="63" width="7.6640625" bestFit="1" customWidth="1"/>
    <col min="64" max="64" width="18" bestFit="1" customWidth="1"/>
    <col min="65" max="65" width="15.83203125" bestFit="1" customWidth="1"/>
    <col min="66" max="66" width="20.83203125" bestFit="1" customWidth="1"/>
    <col min="67" max="67" width="11.33203125" bestFit="1" customWidth="1"/>
    <col min="68" max="68" width="12.83203125" bestFit="1" customWidth="1"/>
    <col min="69" max="69" width="20.1640625" bestFit="1" customWidth="1"/>
    <col min="70" max="70" width="6" bestFit="1" customWidth="1"/>
    <col min="71" max="71" width="19.5" bestFit="1" customWidth="1"/>
    <col min="72" max="72" width="10.5" bestFit="1" customWidth="1"/>
    <col min="73" max="73" width="9.5" bestFit="1" customWidth="1"/>
    <col min="74" max="74" width="9.6640625" bestFit="1" customWidth="1"/>
    <col min="75" max="76" width="9.33203125" bestFit="1" customWidth="1"/>
    <col min="77" max="77" width="14.83203125" bestFit="1" customWidth="1"/>
    <col min="78" max="78" width="11.83203125" bestFit="1" customWidth="1"/>
    <col min="79" max="79" width="10.6640625" bestFit="1" customWidth="1"/>
    <col min="80" max="80" width="13.5" bestFit="1" customWidth="1"/>
    <col min="81" max="81" width="13.6640625" bestFit="1" customWidth="1"/>
    <col min="82" max="82" width="15.1640625" bestFit="1" customWidth="1"/>
    <col min="83" max="83" width="16.6640625" bestFit="1" customWidth="1"/>
    <col min="84" max="84" width="6.33203125" bestFit="1" customWidth="1"/>
    <col min="85" max="85" width="6.83203125" bestFit="1" customWidth="1"/>
    <col min="86" max="86" width="5.6640625" bestFit="1" customWidth="1"/>
    <col min="87" max="87" width="11.33203125" bestFit="1" customWidth="1"/>
    <col min="88" max="88" width="14.5" bestFit="1" customWidth="1"/>
    <col min="89" max="89" width="12.33203125" bestFit="1" customWidth="1"/>
    <col min="90" max="90" width="12.6640625" bestFit="1" customWidth="1"/>
    <col min="91" max="91" width="12.33203125" bestFit="1" customWidth="1"/>
    <col min="92" max="92" width="13.1640625" bestFit="1" customWidth="1"/>
    <col min="93" max="93" width="8" bestFit="1" customWidth="1"/>
    <col min="94" max="94" width="9.1640625" bestFit="1" customWidth="1"/>
    <col min="95" max="95" width="7" bestFit="1" customWidth="1"/>
    <col min="96" max="96" width="11.1640625" bestFit="1" customWidth="1"/>
    <col min="97" max="97" width="10" bestFit="1" customWidth="1"/>
    <col min="98" max="98" width="10.1640625" bestFit="1" customWidth="1"/>
    <col min="99" max="99" width="7" bestFit="1" customWidth="1"/>
  </cols>
  <sheetData>
    <row r="1" spans="1:31" ht="51">
      <c r="A1" s="158" t="s">
        <v>4</v>
      </c>
      <c r="B1" s="74" t="s">
        <v>149</v>
      </c>
      <c r="D1" s="69"/>
      <c r="E1" s="155"/>
      <c r="F1" s="87"/>
      <c r="J1" s="164" t="s">
        <v>150</v>
      </c>
      <c r="K1" s="186">
        <v>50</v>
      </c>
      <c r="L1" s="186"/>
      <c r="M1" s="186"/>
      <c r="N1" s="80"/>
      <c r="O1" s="80"/>
    </row>
    <row r="2" spans="1:31">
      <c r="D2" s="69"/>
      <c r="E2" s="155"/>
      <c r="F2" s="87"/>
      <c r="J2" s="73"/>
      <c r="K2" s="73"/>
      <c r="L2" s="73"/>
      <c r="M2" s="73"/>
      <c r="N2" s="80"/>
      <c r="O2" s="80"/>
    </row>
    <row r="3" spans="1:31" ht="83" customHeight="1" thickBot="1">
      <c r="A3" s="158" t="s">
        <v>151</v>
      </c>
      <c r="B3" s="203"/>
      <c r="C3" s="203"/>
      <c r="D3" s="199"/>
      <c r="E3" s="173"/>
      <c r="F3" s="174" t="s">
        <v>152</v>
      </c>
      <c r="G3" s="174" t="s">
        <v>153</v>
      </c>
      <c r="H3" s="175"/>
      <c r="I3" s="175"/>
      <c r="J3" s="176" t="s">
        <v>154</v>
      </c>
      <c r="K3" s="176" t="s">
        <v>155</v>
      </c>
      <c r="L3" s="176"/>
      <c r="M3" s="176"/>
      <c r="N3" s="177"/>
      <c r="O3" s="178" t="s">
        <v>156</v>
      </c>
    </row>
    <row r="4" spans="1:31" ht="17" thickTop="1">
      <c r="A4" s="159" t="s">
        <v>22</v>
      </c>
      <c r="D4" s="246" t="s">
        <v>123</v>
      </c>
      <c r="E4" s="248">
        <f>SUMPRODUCT(J4:J9, F4:F9)</f>
        <v>39.527724547382448</v>
      </c>
      <c r="F4" s="212">
        <v>3</v>
      </c>
      <c r="G4" s="119">
        <f t="shared" ref="G4:G9" si="0">$K$1*F4</f>
        <v>150</v>
      </c>
      <c r="I4" t="s">
        <v>157</v>
      </c>
      <c r="J4" s="80">
        <f>AVERAGEIFS('Master Variety List'!E:E, 'Master Variety List'!A:A, "*Summer*", 'Master Variety List'!B:B, "*Focal*")</f>
        <v>2.6453333333333333</v>
      </c>
      <c r="K4" s="184">
        <v>500</v>
      </c>
      <c r="L4" s="184"/>
      <c r="M4" s="184"/>
      <c r="N4" s="80"/>
      <c r="O4" s="166">
        <f t="shared" ref="O4" si="1">K4-G4</f>
        <v>350</v>
      </c>
    </row>
    <row r="5" spans="1:31">
      <c r="A5" s="160" t="s">
        <v>47</v>
      </c>
      <c r="D5" s="246"/>
      <c r="E5" s="248"/>
      <c r="F5" s="212">
        <v>10</v>
      </c>
      <c r="G5" s="119">
        <f t="shared" si="0"/>
        <v>500</v>
      </c>
      <c r="I5" t="s">
        <v>158</v>
      </c>
      <c r="J5" s="80">
        <f>AVERAGEIFS('Master Variety List'!E:E, 'Master Variety List'!A:A, "*Summer*", 'Master Variety List'!B:B, "*Foundation*")</f>
        <v>1.6591883116883117</v>
      </c>
      <c r="K5" s="184">
        <v>2000</v>
      </c>
      <c r="L5" s="184"/>
      <c r="M5" s="184"/>
      <c r="N5" s="80"/>
      <c r="O5" s="166">
        <f>K5-G5</f>
        <v>1500</v>
      </c>
    </row>
    <row r="6" spans="1:31">
      <c r="A6" s="160" t="s">
        <v>348</v>
      </c>
      <c r="D6" s="246"/>
      <c r="E6" s="248"/>
      <c r="F6" s="212">
        <v>3</v>
      </c>
      <c r="G6" s="119">
        <f t="shared" si="0"/>
        <v>150</v>
      </c>
      <c r="I6" t="s">
        <v>159</v>
      </c>
      <c r="J6" s="80">
        <f>AVERAGEIFS('Master Variety List'!E:E, 'Master Variety List'!A:A, "*Summer*", 'Master Variety List'!B:B, "*Filler*")</f>
        <v>1.6082894736842104</v>
      </c>
      <c r="K6" s="184">
        <v>500</v>
      </c>
      <c r="L6" s="184"/>
      <c r="M6" s="184"/>
      <c r="N6" s="80"/>
      <c r="O6" s="166">
        <f>K6-G6</f>
        <v>350</v>
      </c>
    </row>
    <row r="7" spans="1:31">
      <c r="A7" s="160" t="s">
        <v>37</v>
      </c>
      <c r="D7" s="246"/>
      <c r="E7" s="248"/>
      <c r="F7" s="212">
        <v>3</v>
      </c>
      <c r="G7" s="119">
        <f t="shared" si="0"/>
        <v>150</v>
      </c>
      <c r="I7" t="s">
        <v>349</v>
      </c>
      <c r="J7" s="80">
        <f>AVERAGEIFS('Master Variety List'!E:E, 'Master Variety List'!A:A, "*Summer*", 'Master Variety List'!B:B, "*Float*")</f>
        <v>1.3608333333333333</v>
      </c>
      <c r="K7" s="184">
        <v>500</v>
      </c>
      <c r="L7" s="184"/>
      <c r="M7" s="184"/>
      <c r="N7" s="80"/>
      <c r="O7" s="166">
        <f>K7-G7</f>
        <v>350</v>
      </c>
    </row>
    <row r="8" spans="1:31">
      <c r="A8" s="160" t="s">
        <v>48</v>
      </c>
      <c r="D8" s="246"/>
      <c r="E8" s="248"/>
      <c r="F8" s="212">
        <v>1</v>
      </c>
      <c r="G8" s="119">
        <f t="shared" si="0"/>
        <v>50</v>
      </c>
      <c r="I8" t="s">
        <v>161</v>
      </c>
      <c r="J8" s="80">
        <f>AVERAGEIFS('Master Variety List'!E:E, 'Master Variety List'!A:A, "*Summer*", 'Master Variety List'!B:B, "*Finisher*")</f>
        <v>1.7747807017543862</v>
      </c>
      <c r="K8" s="184">
        <v>50</v>
      </c>
      <c r="L8" s="184"/>
      <c r="M8" s="184"/>
      <c r="N8" s="80"/>
      <c r="O8" s="166">
        <f>K8-G8</f>
        <v>0</v>
      </c>
    </row>
    <row r="9" spans="1:31">
      <c r="A9" s="160" t="s">
        <v>54</v>
      </c>
      <c r="D9" s="247"/>
      <c r="E9" s="249"/>
      <c r="F9" s="167">
        <v>3</v>
      </c>
      <c r="G9" s="168">
        <f t="shared" si="0"/>
        <v>150</v>
      </c>
      <c r="H9" s="169"/>
      <c r="I9" s="169" t="s">
        <v>162</v>
      </c>
      <c r="J9" s="170">
        <f>AVERAGEIFS('Master Variety List'!E:E, 'Master Variety List'!A:A, "*Summer*", 'Master Variety List'!B:B, "*Foliage*")</f>
        <v>1.4392307692307693</v>
      </c>
      <c r="K9" s="185">
        <v>150</v>
      </c>
      <c r="L9" s="185"/>
      <c r="M9" s="185"/>
      <c r="N9" s="170"/>
      <c r="O9" s="171">
        <f>K9-G9</f>
        <v>0</v>
      </c>
    </row>
    <row r="10" spans="1:31">
      <c r="A10" s="159" t="s">
        <v>26</v>
      </c>
      <c r="D10" s="69"/>
      <c r="E10" s="155"/>
      <c r="F10" s="87"/>
      <c r="J10" s="80"/>
      <c r="K10" s="154"/>
      <c r="L10" s="154"/>
      <c r="M10" s="154"/>
      <c r="N10" s="80"/>
      <c r="O10" s="154"/>
    </row>
    <row r="11" spans="1:31">
      <c r="A11" s="160" t="s">
        <v>82</v>
      </c>
    </row>
    <row r="12" spans="1:31" ht="21">
      <c r="A12" s="160" t="s">
        <v>83</v>
      </c>
      <c r="G12" s="251" t="s">
        <v>350</v>
      </c>
      <c r="H12" s="251"/>
      <c r="I12" s="251"/>
      <c r="J12" s="251"/>
      <c r="K12" s="251"/>
      <c r="L12" s="211"/>
      <c r="M12" s="211"/>
    </row>
    <row r="13" spans="1:31" ht="19">
      <c r="A13" s="160" t="s">
        <v>84</v>
      </c>
      <c r="G13" s="241" t="s">
        <v>164</v>
      </c>
      <c r="H13" s="241"/>
      <c r="I13" s="241"/>
      <c r="J13" s="241"/>
      <c r="K13" s="241"/>
      <c r="L13" s="210"/>
      <c r="M13" s="210"/>
      <c r="N13" s="159"/>
      <c r="O13" s="159"/>
      <c r="P13" s="159"/>
    </row>
    <row r="14" spans="1:31" ht="19">
      <c r="A14" s="160" t="s">
        <v>85</v>
      </c>
      <c r="G14" s="241" t="s">
        <v>165</v>
      </c>
      <c r="H14" s="241"/>
      <c r="I14" s="241"/>
      <c r="J14" s="241"/>
      <c r="K14" s="241"/>
      <c r="L14" s="210"/>
      <c r="M14" s="210"/>
      <c r="N14" s="159"/>
      <c r="O14" s="159"/>
      <c r="P14" s="159"/>
    </row>
    <row r="15" spans="1:31" ht="19">
      <c r="A15" s="160" t="s">
        <v>37</v>
      </c>
      <c r="G15" s="241" t="s">
        <v>166</v>
      </c>
      <c r="H15" s="241"/>
      <c r="I15" s="241"/>
      <c r="J15" s="241"/>
      <c r="K15" s="241"/>
      <c r="L15" s="241"/>
      <c r="M15" s="241"/>
      <c r="N15" s="241"/>
      <c r="O15" s="241"/>
      <c r="P15" s="241"/>
    </row>
    <row r="16" spans="1:31" ht="19">
      <c r="A16" s="160" t="s">
        <v>86</v>
      </c>
      <c r="G16" s="241" t="s">
        <v>167</v>
      </c>
      <c r="H16" s="241"/>
      <c r="I16" s="241"/>
      <c r="J16" s="241"/>
      <c r="K16" s="241"/>
      <c r="L16" s="210"/>
      <c r="M16" s="210"/>
      <c r="N16" s="159"/>
      <c r="O16" s="159"/>
      <c r="P16" s="159"/>
      <c r="AA16" s="119"/>
      <c r="AB16" s="119"/>
      <c r="AC16" s="119"/>
      <c r="AD16" s="119"/>
      <c r="AE16" s="119"/>
    </row>
    <row r="17" spans="1:43" ht="19">
      <c r="A17" s="160" t="s">
        <v>118</v>
      </c>
      <c r="G17" s="241" t="s">
        <v>168</v>
      </c>
      <c r="H17" s="241"/>
      <c r="I17" s="241"/>
      <c r="J17" s="241"/>
      <c r="K17" s="241"/>
      <c r="L17" s="210"/>
      <c r="M17" s="210" t="s">
        <v>351</v>
      </c>
      <c r="N17" s="159" t="s">
        <v>352</v>
      </c>
      <c r="O17" s="159"/>
      <c r="P17" s="159" t="s">
        <v>353</v>
      </c>
    </row>
    <row r="18" spans="1:43">
      <c r="A18" s="160" t="s">
        <v>80</v>
      </c>
      <c r="M18" t="s">
        <v>354</v>
      </c>
      <c r="N18" t="s">
        <v>355</v>
      </c>
      <c r="P18" t="s">
        <v>356</v>
      </c>
    </row>
    <row r="19" spans="1:43">
      <c r="A19" s="160" t="s">
        <v>77</v>
      </c>
      <c r="M19" t="s">
        <v>357</v>
      </c>
      <c r="N19" t="s">
        <v>358</v>
      </c>
      <c r="P19" t="s">
        <v>359</v>
      </c>
    </row>
    <row r="20" spans="1:43">
      <c r="A20" s="160" t="s">
        <v>78</v>
      </c>
      <c r="F20" t="s">
        <v>169</v>
      </c>
      <c r="J20" s="119" t="s">
        <v>170</v>
      </c>
      <c r="K20" s="119"/>
      <c r="L20" s="119"/>
      <c r="M20" s="119"/>
      <c r="N20" s="119"/>
      <c r="O20" s="119"/>
      <c r="P20" s="119"/>
      <c r="Q20" s="119"/>
      <c r="V20" s="119" t="s">
        <v>171</v>
      </c>
      <c r="W20" s="119"/>
      <c r="AA20" s="119" t="s">
        <v>172</v>
      </c>
      <c r="AB20" s="119"/>
      <c r="AC20" s="119"/>
      <c r="AD20" s="119"/>
      <c r="AE20" s="119"/>
      <c r="AF20" s="119"/>
      <c r="AG20" s="119" t="s">
        <v>173</v>
      </c>
      <c r="AI20" s="119"/>
      <c r="AJ20" s="119"/>
      <c r="AK20" s="119"/>
      <c r="AL20" s="119"/>
      <c r="AM20" s="119" t="s">
        <v>174</v>
      </c>
      <c r="AN20" s="119"/>
    </row>
    <row r="21" spans="1:43" ht="37" customHeight="1" thickBot="1">
      <c r="A21" s="160" t="s">
        <v>122</v>
      </c>
      <c r="B21" s="243" t="s">
        <v>175</v>
      </c>
      <c r="C21" s="243" t="s">
        <v>176</v>
      </c>
      <c r="F21" s="87" t="s">
        <v>120</v>
      </c>
      <c r="G21" s="87" t="s">
        <v>360</v>
      </c>
      <c r="H21" s="87" t="s">
        <v>54</v>
      </c>
      <c r="I21" s="87" t="s">
        <v>361</v>
      </c>
      <c r="J21" s="87" t="s">
        <v>89</v>
      </c>
      <c r="K21" s="87" t="s">
        <v>362</v>
      </c>
      <c r="L21" s="87" t="s">
        <v>363</v>
      </c>
      <c r="M21" s="87" t="s">
        <v>85</v>
      </c>
      <c r="N21" s="87" t="s">
        <v>86</v>
      </c>
      <c r="O21" s="87" t="s">
        <v>118</v>
      </c>
      <c r="P21" s="87" t="s">
        <v>77</v>
      </c>
      <c r="Q21" s="87" t="s">
        <v>310</v>
      </c>
      <c r="R21" s="87" t="s">
        <v>311</v>
      </c>
      <c r="S21" s="87" t="s">
        <v>88</v>
      </c>
      <c r="T21" s="87" t="s">
        <v>87</v>
      </c>
      <c r="U21" s="87" t="s">
        <v>364</v>
      </c>
      <c r="V21" s="87" t="s">
        <v>95</v>
      </c>
      <c r="W21" s="87" t="s">
        <v>98</v>
      </c>
      <c r="X21" s="119" t="s">
        <v>365</v>
      </c>
      <c r="Y21" s="87" t="s">
        <v>97</v>
      </c>
      <c r="Z21" s="87" t="s">
        <v>96</v>
      </c>
      <c r="AA21" s="87" t="s">
        <v>105</v>
      </c>
      <c r="AB21" s="87" t="s">
        <v>106</v>
      </c>
      <c r="AC21" s="87" t="s">
        <v>108</v>
      </c>
      <c r="AD21" s="87" t="s">
        <v>314</v>
      </c>
      <c r="AE21" s="87" t="s">
        <v>103</v>
      </c>
      <c r="AF21" s="87" t="s">
        <v>110</v>
      </c>
      <c r="AG21" s="87" t="s">
        <v>125</v>
      </c>
      <c r="AH21" s="87" t="s">
        <v>117</v>
      </c>
      <c r="AI21" s="87" t="s">
        <v>107</v>
      </c>
      <c r="AJ21" s="87" t="s">
        <v>366</v>
      </c>
      <c r="AK21" s="87" t="s">
        <v>367</v>
      </c>
      <c r="AL21" s="87" t="s">
        <v>137</v>
      </c>
      <c r="AM21" s="87" t="s">
        <v>138</v>
      </c>
      <c r="AN21" s="87" t="s">
        <v>132</v>
      </c>
      <c r="AO21" s="87" t="s">
        <v>133</v>
      </c>
      <c r="AP21" s="87" t="s">
        <v>136</v>
      </c>
    </row>
    <row r="22" spans="1:43" ht="25" customHeight="1" thickTop="1" thickBot="1">
      <c r="A22" s="160" t="s">
        <v>81</v>
      </c>
      <c r="B22" s="243"/>
      <c r="C22" s="243"/>
      <c r="D22" s="244" t="s">
        <v>368</v>
      </c>
      <c r="E22" s="245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D22" s="74"/>
      <c r="AE22" s="74"/>
      <c r="AF22" s="74"/>
      <c r="AG22" s="74"/>
      <c r="AH22" s="74"/>
      <c r="AI22" s="74"/>
      <c r="AJ22" s="74"/>
      <c r="AK22" s="74"/>
      <c r="AL22" s="74"/>
      <c r="AO22" s="160"/>
    </row>
    <row r="23" spans="1:43" ht="70" thickTop="1" thickBot="1">
      <c r="A23" s="160" t="s">
        <v>88</v>
      </c>
      <c r="C23" s="74" t="s">
        <v>369</v>
      </c>
      <c r="D23" s="195" t="s">
        <v>215</v>
      </c>
      <c r="E23" s="194" t="s">
        <v>216</v>
      </c>
      <c r="F23" s="74" t="s">
        <v>332</v>
      </c>
      <c r="G23" s="74" t="s">
        <v>332</v>
      </c>
      <c r="H23" s="74" t="s">
        <v>370</v>
      </c>
      <c r="I23" s="74" t="s">
        <v>371</v>
      </c>
      <c r="J23" s="74" t="s">
        <v>332</v>
      </c>
      <c r="K23" s="74" t="s">
        <v>372</v>
      </c>
      <c r="L23" s="74" t="s">
        <v>373</v>
      </c>
      <c r="M23" s="74" t="s">
        <v>332</v>
      </c>
      <c r="N23" s="74" t="s">
        <v>374</v>
      </c>
      <c r="O23" s="74" t="s">
        <v>196</v>
      </c>
      <c r="P23" s="74" t="s">
        <v>332</v>
      </c>
      <c r="Q23" s="74" t="s">
        <v>332</v>
      </c>
      <c r="R23" s="74" t="s">
        <v>265</v>
      </c>
      <c r="S23" s="74" t="s">
        <v>265</v>
      </c>
      <c r="T23" s="74" t="s">
        <v>332</v>
      </c>
      <c r="U23" s="74" t="s">
        <v>332</v>
      </c>
      <c r="V23" s="74" t="s">
        <v>332</v>
      </c>
      <c r="W23" s="74" t="s">
        <v>332</v>
      </c>
      <c r="X23" s="74" t="s">
        <v>375</v>
      </c>
      <c r="Y23" s="74" t="s">
        <v>376</v>
      </c>
      <c r="Z23" s="74" t="s">
        <v>377</v>
      </c>
      <c r="AA23" s="74" t="s">
        <v>332</v>
      </c>
      <c r="AB23" s="74" t="s">
        <v>378</v>
      </c>
      <c r="AC23" s="74" t="s">
        <v>379</v>
      </c>
      <c r="AD23" s="74" t="s">
        <v>380</v>
      </c>
      <c r="AE23" s="74" t="s">
        <v>342</v>
      </c>
      <c r="AF23" s="74" t="s">
        <v>332</v>
      </c>
      <c r="AG23" s="74" t="s">
        <v>332</v>
      </c>
      <c r="AH23" s="74" t="s">
        <v>342</v>
      </c>
      <c r="AI23" s="74" t="s">
        <v>332</v>
      </c>
      <c r="AJ23" s="74" t="s">
        <v>342</v>
      </c>
      <c r="AK23" s="74" t="s">
        <v>332</v>
      </c>
      <c r="AL23" s="74" t="s">
        <v>342</v>
      </c>
      <c r="AM23" s="74" t="s">
        <v>342</v>
      </c>
      <c r="AN23" s="74" t="s">
        <v>342</v>
      </c>
      <c r="AO23" s="74" t="s">
        <v>342</v>
      </c>
      <c r="AP23" s="74" t="s">
        <v>342</v>
      </c>
    </row>
    <row r="24" spans="1:43" ht="86" thickBot="1">
      <c r="A24" s="160" t="s">
        <v>91</v>
      </c>
      <c r="D24" s="195" t="s">
        <v>381</v>
      </c>
      <c r="E24" s="194" t="s">
        <v>319</v>
      </c>
      <c r="F24" s="74" t="s">
        <v>193</v>
      </c>
      <c r="G24" s="74" t="s">
        <v>382</v>
      </c>
      <c r="H24" s="74" t="s">
        <v>383</v>
      </c>
      <c r="I24" s="74" t="s">
        <v>384</v>
      </c>
      <c r="J24" s="74" t="s">
        <v>385</v>
      </c>
      <c r="K24" s="74" t="s">
        <v>386</v>
      </c>
      <c r="L24" s="74" t="s">
        <v>332</v>
      </c>
      <c r="M24" s="74" t="s">
        <v>387</v>
      </c>
      <c r="N24" s="74" t="s">
        <v>388</v>
      </c>
      <c r="O24" s="74" t="s">
        <v>332</v>
      </c>
      <c r="P24" s="74" t="s">
        <v>389</v>
      </c>
      <c r="Q24" s="74" t="s">
        <v>193</v>
      </c>
      <c r="R24" s="74" t="s">
        <v>193</v>
      </c>
      <c r="S24" s="74" t="s">
        <v>332</v>
      </c>
      <c r="T24" s="74" t="s">
        <v>390</v>
      </c>
      <c r="U24" s="74" t="s">
        <v>342</v>
      </c>
      <c r="V24" s="74" t="s">
        <v>342</v>
      </c>
      <c r="W24" s="74" t="s">
        <v>391</v>
      </c>
      <c r="X24" s="74" t="s">
        <v>392</v>
      </c>
      <c r="Y24" s="74" t="s">
        <v>332</v>
      </c>
      <c r="Z24" s="74" t="s">
        <v>332</v>
      </c>
      <c r="AA24" s="74" t="s">
        <v>332</v>
      </c>
      <c r="AB24" s="74" t="s">
        <v>193</v>
      </c>
      <c r="AC24" s="74" t="s">
        <v>332</v>
      </c>
      <c r="AD24" s="74" t="s">
        <v>393</v>
      </c>
      <c r="AE24" s="74" t="s">
        <v>332</v>
      </c>
      <c r="AF24" s="74" t="s">
        <v>391</v>
      </c>
      <c r="AG24" s="74" t="s">
        <v>391</v>
      </c>
      <c r="AH24" s="74" t="s">
        <v>342</v>
      </c>
      <c r="AI24" s="74" t="s">
        <v>342</v>
      </c>
      <c r="AJ24" s="74" t="s">
        <v>342</v>
      </c>
      <c r="AK24" s="74" t="s">
        <v>332</v>
      </c>
      <c r="AL24" s="74" t="s">
        <v>342</v>
      </c>
      <c r="AM24" s="74" t="s">
        <v>342</v>
      </c>
      <c r="AN24" s="74" t="s">
        <v>342</v>
      </c>
      <c r="AO24" s="74" t="s">
        <v>342</v>
      </c>
      <c r="AP24" s="69" t="s">
        <v>332</v>
      </c>
      <c r="AQ24" s="160"/>
    </row>
    <row r="25" spans="1:43" ht="69" thickBot="1">
      <c r="A25" s="160" t="s">
        <v>87</v>
      </c>
      <c r="D25" s="195" t="s">
        <v>223</v>
      </c>
      <c r="E25" s="194" t="s">
        <v>394</v>
      </c>
      <c r="F25" s="74" t="s">
        <v>332</v>
      </c>
      <c r="G25" s="74" t="s">
        <v>395</v>
      </c>
      <c r="H25" s="74" t="s">
        <v>396</v>
      </c>
      <c r="I25" s="74" t="s">
        <v>397</v>
      </c>
      <c r="J25" s="74" t="s">
        <v>395</v>
      </c>
      <c r="K25" s="74" t="s">
        <v>398</v>
      </c>
      <c r="L25" s="74" t="s">
        <v>399</v>
      </c>
      <c r="M25" s="74" t="s">
        <v>400</v>
      </c>
      <c r="N25" s="74" t="s">
        <v>401</v>
      </c>
      <c r="O25" s="74" t="s">
        <v>332</v>
      </c>
      <c r="P25" s="74" t="s">
        <v>332</v>
      </c>
      <c r="Q25" s="74" t="s">
        <v>332</v>
      </c>
      <c r="R25" s="74" t="s">
        <v>402</v>
      </c>
      <c r="S25" s="74" t="s">
        <v>403</v>
      </c>
      <c r="T25" s="74" t="s">
        <v>390</v>
      </c>
      <c r="U25" s="74" t="s">
        <v>342</v>
      </c>
      <c r="V25" s="74" t="s">
        <v>342</v>
      </c>
      <c r="W25" s="74" t="s">
        <v>391</v>
      </c>
      <c r="X25" s="74" t="s">
        <v>392</v>
      </c>
      <c r="Y25" s="74" t="s">
        <v>332</v>
      </c>
      <c r="Z25" s="74" t="s">
        <v>343</v>
      </c>
      <c r="AA25" s="74" t="s">
        <v>332</v>
      </c>
      <c r="AB25" s="74" t="s">
        <v>193</v>
      </c>
      <c r="AC25" s="74" t="s">
        <v>332</v>
      </c>
      <c r="AD25" s="74" t="s">
        <v>404</v>
      </c>
      <c r="AE25" s="74" t="s">
        <v>332</v>
      </c>
      <c r="AF25" s="74" t="s">
        <v>405</v>
      </c>
      <c r="AG25" s="74" t="s">
        <v>391</v>
      </c>
      <c r="AH25" s="74" t="s">
        <v>342</v>
      </c>
      <c r="AI25" s="74" t="s">
        <v>332</v>
      </c>
      <c r="AJ25" s="74" t="s">
        <v>342</v>
      </c>
      <c r="AK25" s="74" t="s">
        <v>342</v>
      </c>
      <c r="AL25" s="74" t="s">
        <v>342</v>
      </c>
      <c r="AM25" s="74" t="s">
        <v>342</v>
      </c>
      <c r="AN25" s="74" t="s">
        <v>342</v>
      </c>
      <c r="AO25" s="74" t="s">
        <v>342</v>
      </c>
      <c r="AP25" s="74" t="s">
        <v>342</v>
      </c>
      <c r="AQ25" s="160"/>
    </row>
    <row r="26" spans="1:43" ht="52" thickBot="1">
      <c r="A26" s="160" t="s">
        <v>90</v>
      </c>
      <c r="B26" s="74" t="s">
        <v>406</v>
      </c>
      <c r="D26" s="195" t="s">
        <v>228</v>
      </c>
      <c r="E26" s="194" t="s">
        <v>407</v>
      </c>
      <c r="F26" s="74" t="s">
        <v>408</v>
      </c>
      <c r="G26" s="74" t="s">
        <v>332</v>
      </c>
      <c r="H26" s="74" t="s">
        <v>409</v>
      </c>
      <c r="I26" s="74" t="s">
        <v>410</v>
      </c>
      <c r="K26" s="74" t="s">
        <v>411</v>
      </c>
      <c r="L26" s="74" t="s">
        <v>412</v>
      </c>
      <c r="M26" s="74" t="s">
        <v>413</v>
      </c>
      <c r="N26" s="74" t="s">
        <v>414</v>
      </c>
      <c r="O26" s="74" t="s">
        <v>415</v>
      </c>
      <c r="P26" s="74" t="s">
        <v>332</v>
      </c>
      <c r="Q26" s="74" t="s">
        <v>287</v>
      </c>
      <c r="R26" s="74" t="s">
        <v>416</v>
      </c>
      <c r="S26" s="74" t="s">
        <v>417</v>
      </c>
      <c r="T26" s="74" t="s">
        <v>332</v>
      </c>
      <c r="U26" s="74" t="s">
        <v>332</v>
      </c>
      <c r="V26" s="74" t="s">
        <v>342</v>
      </c>
      <c r="W26" s="74" t="s">
        <v>332</v>
      </c>
      <c r="X26" s="74" t="s">
        <v>418</v>
      </c>
      <c r="Y26" s="74" t="s">
        <v>419</v>
      </c>
      <c r="Z26" s="74" t="s">
        <v>380</v>
      </c>
      <c r="AA26" s="74" t="s">
        <v>342</v>
      </c>
      <c r="AB26" s="74" t="s">
        <v>332</v>
      </c>
      <c r="AC26" s="74" t="s">
        <v>332</v>
      </c>
      <c r="AD26" s="74" t="s">
        <v>287</v>
      </c>
      <c r="AE26" s="74" t="s">
        <v>332</v>
      </c>
      <c r="AF26" s="74" t="s">
        <v>420</v>
      </c>
      <c r="AG26" s="74" t="s">
        <v>332</v>
      </c>
      <c r="AH26" s="74" t="s">
        <v>342</v>
      </c>
      <c r="AI26" s="74" t="s">
        <v>332</v>
      </c>
      <c r="AJ26" s="74" t="s">
        <v>342</v>
      </c>
      <c r="AK26" s="74" t="s">
        <v>342</v>
      </c>
      <c r="AL26" s="74" t="s">
        <v>342</v>
      </c>
      <c r="AM26" s="74" t="s">
        <v>342</v>
      </c>
      <c r="AN26" s="74" t="s">
        <v>342</v>
      </c>
      <c r="AO26" s="74" t="s">
        <v>342</v>
      </c>
      <c r="AP26" s="74" t="s">
        <v>342</v>
      </c>
      <c r="AQ26" s="160"/>
    </row>
    <row r="27" spans="1:43" ht="35" thickBot="1">
      <c r="A27" s="159" t="s">
        <v>421</v>
      </c>
      <c r="B27" s="74" t="s">
        <v>422</v>
      </c>
      <c r="D27" s="195" t="s">
        <v>423</v>
      </c>
      <c r="E27" s="194" t="s">
        <v>424</v>
      </c>
      <c r="F27" s="74" t="s">
        <v>332</v>
      </c>
      <c r="G27" s="74" t="s">
        <v>332</v>
      </c>
      <c r="H27" s="74" t="s">
        <v>425</v>
      </c>
      <c r="I27" s="74" t="s">
        <v>426</v>
      </c>
      <c r="J27" s="74" t="s">
        <v>332</v>
      </c>
      <c r="K27" s="74" t="s">
        <v>427</v>
      </c>
      <c r="L27" s="74" t="s">
        <v>332</v>
      </c>
      <c r="M27" s="74" t="s">
        <v>332</v>
      </c>
      <c r="N27" s="74" t="s">
        <v>428</v>
      </c>
      <c r="O27" s="74" t="s">
        <v>332</v>
      </c>
      <c r="P27" s="74" t="s">
        <v>332</v>
      </c>
      <c r="Q27" s="74" t="s">
        <v>332</v>
      </c>
      <c r="R27" s="74" t="s">
        <v>429</v>
      </c>
      <c r="S27" s="74" t="s">
        <v>430</v>
      </c>
      <c r="T27" s="74" t="s">
        <v>431</v>
      </c>
      <c r="U27" s="74" t="s">
        <v>332</v>
      </c>
      <c r="V27" s="74" t="s">
        <v>332</v>
      </c>
      <c r="W27" s="74" t="s">
        <v>332</v>
      </c>
      <c r="X27" s="74" t="s">
        <v>430</v>
      </c>
      <c r="Y27" s="74" t="s">
        <v>308</v>
      </c>
      <c r="Z27" s="74" t="s">
        <v>430</v>
      </c>
      <c r="AA27" s="74" t="s">
        <v>332</v>
      </c>
      <c r="AB27" s="74" t="s">
        <v>378</v>
      </c>
      <c r="AC27" s="74" t="s">
        <v>332</v>
      </c>
      <c r="AD27" s="74" t="s">
        <v>430</v>
      </c>
      <c r="AE27" s="74" t="s">
        <v>332</v>
      </c>
      <c r="AF27" s="74" t="s">
        <v>332</v>
      </c>
      <c r="AG27" s="74" t="s">
        <v>432</v>
      </c>
      <c r="AH27" s="74" t="s">
        <v>342</v>
      </c>
      <c r="AI27" s="74" t="s">
        <v>332</v>
      </c>
      <c r="AJ27" s="74" t="s">
        <v>342</v>
      </c>
      <c r="AK27" s="74" t="s">
        <v>342</v>
      </c>
      <c r="AL27" s="74" t="s">
        <v>342</v>
      </c>
      <c r="AM27" s="74" t="s">
        <v>342</v>
      </c>
      <c r="AN27" s="74" t="s">
        <v>342</v>
      </c>
      <c r="AO27" s="74" t="s">
        <v>342</v>
      </c>
      <c r="AP27" s="74" t="s">
        <v>342</v>
      </c>
      <c r="AQ27" s="160"/>
    </row>
    <row r="28" spans="1:43" ht="21" thickTop="1" thickBot="1">
      <c r="A28" s="160" t="s">
        <v>89</v>
      </c>
      <c r="D28" s="244" t="s">
        <v>433</v>
      </c>
      <c r="E28" s="245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69"/>
      <c r="AN28" s="69"/>
      <c r="AO28" s="69"/>
      <c r="AP28" s="69"/>
      <c r="AQ28" s="160"/>
    </row>
    <row r="29" spans="1:43" ht="70" customHeight="1" thickTop="1" thickBot="1">
      <c r="A29" s="159" t="s">
        <v>33</v>
      </c>
      <c r="D29" s="195" t="s">
        <v>245</v>
      </c>
      <c r="E29" s="194" t="s">
        <v>434</v>
      </c>
      <c r="F29" s="74" t="s">
        <v>193</v>
      </c>
      <c r="G29" s="74" t="s">
        <v>435</v>
      </c>
      <c r="H29" s="74" t="s">
        <v>436</v>
      </c>
      <c r="I29" s="74" t="s">
        <v>437</v>
      </c>
      <c r="J29" s="74" t="s">
        <v>435</v>
      </c>
      <c r="K29" s="74" t="s">
        <v>438</v>
      </c>
      <c r="L29" s="74" t="s">
        <v>439</v>
      </c>
      <c r="M29" s="74" t="s">
        <v>440</v>
      </c>
      <c r="N29" s="74" t="s">
        <v>441</v>
      </c>
      <c r="O29" s="74" t="s">
        <v>279</v>
      </c>
      <c r="P29" s="74" t="s">
        <v>389</v>
      </c>
      <c r="Q29" s="74" t="s">
        <v>193</v>
      </c>
      <c r="R29" s="74" t="s">
        <v>270</v>
      </c>
      <c r="S29" s="74" t="s">
        <v>442</v>
      </c>
      <c r="T29" s="74" t="s">
        <v>435</v>
      </c>
      <c r="U29" s="74" t="s">
        <v>346</v>
      </c>
      <c r="V29" s="74" t="s">
        <v>342</v>
      </c>
      <c r="W29" s="74" t="s">
        <v>443</v>
      </c>
      <c r="X29" s="74" t="s">
        <v>392</v>
      </c>
      <c r="Y29" s="74" t="s">
        <v>332</v>
      </c>
      <c r="Z29" s="74" t="s">
        <v>430</v>
      </c>
      <c r="AA29" s="74" t="s">
        <v>332</v>
      </c>
      <c r="AB29" s="74" t="s">
        <v>193</v>
      </c>
      <c r="AC29" s="74" t="s">
        <v>444</v>
      </c>
      <c r="AD29" s="74" t="s">
        <v>445</v>
      </c>
      <c r="AE29" s="74" t="s">
        <v>332</v>
      </c>
      <c r="AF29" s="74" t="s">
        <v>438</v>
      </c>
      <c r="AG29" s="74" t="s">
        <v>332</v>
      </c>
      <c r="AH29" s="74" t="s">
        <v>342</v>
      </c>
      <c r="AI29" s="74" t="s">
        <v>342</v>
      </c>
      <c r="AJ29" s="74" t="s">
        <v>342</v>
      </c>
      <c r="AK29" s="74" t="s">
        <v>332</v>
      </c>
      <c r="AL29" s="74" t="s">
        <v>342</v>
      </c>
      <c r="AM29" s="74" t="s">
        <v>342</v>
      </c>
      <c r="AN29" s="74" t="s">
        <v>342</v>
      </c>
      <c r="AO29" s="74" t="s">
        <v>342</v>
      </c>
      <c r="AP29" s="74" t="s">
        <v>332</v>
      </c>
      <c r="AQ29" s="160"/>
    </row>
    <row r="30" spans="1:43" ht="69" thickBot="1">
      <c r="A30" s="160" t="s">
        <v>95</v>
      </c>
      <c r="D30" s="195" t="s">
        <v>284</v>
      </c>
      <c r="E30" s="194" t="s">
        <v>446</v>
      </c>
      <c r="F30" s="74" t="s">
        <v>287</v>
      </c>
      <c r="G30" s="74" t="s">
        <v>332</v>
      </c>
      <c r="H30" s="74" t="s">
        <v>447</v>
      </c>
      <c r="I30" s="74" t="s">
        <v>448</v>
      </c>
      <c r="J30" s="74" t="s">
        <v>332</v>
      </c>
      <c r="K30" s="74" t="s">
        <v>449</v>
      </c>
      <c r="L30" s="74" t="s">
        <v>450</v>
      </c>
      <c r="M30" s="74" t="s">
        <v>413</v>
      </c>
      <c r="N30" s="74" t="s">
        <v>451</v>
      </c>
      <c r="O30" s="74" t="s">
        <v>287</v>
      </c>
      <c r="P30" s="74" t="s">
        <v>332</v>
      </c>
      <c r="Q30" s="74" t="s">
        <v>287</v>
      </c>
      <c r="R30" s="74" t="s">
        <v>452</v>
      </c>
      <c r="S30" s="74" t="s">
        <v>453</v>
      </c>
      <c r="T30" s="74" t="s">
        <v>332</v>
      </c>
      <c r="U30" s="74" t="s">
        <v>332</v>
      </c>
      <c r="V30" s="74" t="s">
        <v>332</v>
      </c>
      <c r="W30" s="74" t="s">
        <v>430</v>
      </c>
      <c r="X30" s="74" t="s">
        <v>287</v>
      </c>
      <c r="Y30" s="74" t="s">
        <v>287</v>
      </c>
      <c r="Z30" s="74" t="s">
        <v>454</v>
      </c>
      <c r="AA30" s="74" t="s">
        <v>342</v>
      </c>
      <c r="AB30" s="74" t="s">
        <v>332</v>
      </c>
      <c r="AC30" s="74" t="s">
        <v>332</v>
      </c>
      <c r="AD30" s="74" t="s">
        <v>455</v>
      </c>
      <c r="AE30" s="74" t="s">
        <v>332</v>
      </c>
      <c r="AF30" s="74" t="s">
        <v>456</v>
      </c>
      <c r="AG30" s="74" t="s">
        <v>332</v>
      </c>
      <c r="AH30" s="74" t="s">
        <v>342</v>
      </c>
      <c r="AI30" s="74" t="s">
        <v>332</v>
      </c>
      <c r="AJ30" s="74" t="s">
        <v>342</v>
      </c>
      <c r="AK30" s="74" t="s">
        <v>332</v>
      </c>
      <c r="AL30" s="74" t="s">
        <v>342</v>
      </c>
      <c r="AM30" s="74" t="s">
        <v>342</v>
      </c>
      <c r="AN30" s="74" t="s">
        <v>342</v>
      </c>
      <c r="AO30" s="74" t="s">
        <v>342</v>
      </c>
      <c r="AP30" s="74" t="s">
        <v>332</v>
      </c>
    </row>
    <row r="31" spans="1:43" ht="69" thickBot="1">
      <c r="A31" s="160" t="s">
        <v>99</v>
      </c>
      <c r="C31" s="74" t="s">
        <v>325</v>
      </c>
      <c r="D31" s="195" t="s">
        <v>260</v>
      </c>
      <c r="E31" s="194" t="s">
        <v>326</v>
      </c>
      <c r="F31" s="74" t="s">
        <v>332</v>
      </c>
      <c r="G31" s="74" t="s">
        <v>332</v>
      </c>
      <c r="H31" s="74" t="s">
        <v>457</v>
      </c>
      <c r="I31" s="74" t="s">
        <v>458</v>
      </c>
      <c r="J31" s="74" t="s">
        <v>332</v>
      </c>
      <c r="K31" s="74" t="s">
        <v>459</v>
      </c>
      <c r="L31" s="74" t="s">
        <v>460</v>
      </c>
      <c r="M31" s="74" t="s">
        <v>203</v>
      </c>
      <c r="N31" s="74" t="s">
        <v>259</v>
      </c>
      <c r="O31" s="74" t="s">
        <v>461</v>
      </c>
      <c r="P31" s="74" t="s">
        <v>332</v>
      </c>
      <c r="Q31" s="74" t="s">
        <v>332</v>
      </c>
      <c r="R31" s="74" t="s">
        <v>462</v>
      </c>
      <c r="S31" s="74" t="s">
        <v>430</v>
      </c>
      <c r="T31" s="74" t="s">
        <v>332</v>
      </c>
      <c r="U31" s="74" t="s">
        <v>332</v>
      </c>
      <c r="V31" s="74" t="s">
        <v>332</v>
      </c>
      <c r="W31" s="74" t="s">
        <v>463</v>
      </c>
      <c r="X31" s="74" t="s">
        <v>430</v>
      </c>
      <c r="Y31" s="74" t="s">
        <v>308</v>
      </c>
      <c r="Z31" s="74" t="s">
        <v>430</v>
      </c>
      <c r="AA31" s="74" t="s">
        <v>332</v>
      </c>
      <c r="AB31" s="74" t="s">
        <v>332</v>
      </c>
      <c r="AC31" s="74" t="s">
        <v>279</v>
      </c>
      <c r="AD31" s="74" t="s">
        <v>282</v>
      </c>
      <c r="AE31" s="74" t="s">
        <v>332</v>
      </c>
      <c r="AF31" s="74" t="s">
        <v>464</v>
      </c>
      <c r="AG31" s="74" t="s">
        <v>332</v>
      </c>
      <c r="AH31" s="74" t="s">
        <v>342</v>
      </c>
      <c r="AI31" s="74" t="s">
        <v>332</v>
      </c>
      <c r="AJ31" s="74" t="s">
        <v>342</v>
      </c>
      <c r="AK31" s="74" t="s">
        <v>332</v>
      </c>
      <c r="AL31" s="74" t="s">
        <v>342</v>
      </c>
      <c r="AM31" s="74" t="s">
        <v>342</v>
      </c>
      <c r="AN31" s="74" t="s">
        <v>342</v>
      </c>
      <c r="AO31" s="74" t="s">
        <v>342</v>
      </c>
      <c r="AP31" s="74" t="s">
        <v>332</v>
      </c>
    </row>
    <row r="32" spans="1:43" ht="69" thickBot="1">
      <c r="A32" s="160" t="s">
        <v>100</v>
      </c>
      <c r="D32" s="195" t="s">
        <v>267</v>
      </c>
      <c r="E32" s="194" t="s">
        <v>327</v>
      </c>
      <c r="F32" s="74" t="s">
        <v>332</v>
      </c>
      <c r="G32" s="74" t="s">
        <v>332</v>
      </c>
      <c r="H32" s="74" t="s">
        <v>465</v>
      </c>
      <c r="I32" s="74" t="s">
        <v>466</v>
      </c>
      <c r="J32" s="74" t="s">
        <v>332</v>
      </c>
      <c r="K32" s="74" t="s">
        <v>442</v>
      </c>
      <c r="L32" s="74" t="s">
        <v>439</v>
      </c>
      <c r="M32" s="74" t="s">
        <v>332</v>
      </c>
      <c r="N32" s="74" t="s">
        <v>272</v>
      </c>
      <c r="O32" s="74" t="s">
        <v>332</v>
      </c>
      <c r="P32" s="74" t="s">
        <v>332</v>
      </c>
      <c r="Q32" s="74" t="s">
        <v>193</v>
      </c>
      <c r="R32" s="74" t="s">
        <v>270</v>
      </c>
      <c r="S32" s="74" t="s">
        <v>273</v>
      </c>
      <c r="T32" s="74" t="s">
        <v>435</v>
      </c>
      <c r="U32" s="74" t="s">
        <v>332</v>
      </c>
      <c r="V32" s="74" t="s">
        <v>342</v>
      </c>
      <c r="W32" s="74" t="s">
        <v>430</v>
      </c>
      <c r="X32" s="74" t="s">
        <v>392</v>
      </c>
      <c r="Y32" s="74" t="s">
        <v>332</v>
      </c>
      <c r="Z32" s="74" t="s">
        <v>430</v>
      </c>
      <c r="AA32" s="74" t="s">
        <v>332</v>
      </c>
      <c r="AB32" s="74" t="s">
        <v>193</v>
      </c>
      <c r="AC32" s="74" t="s">
        <v>435</v>
      </c>
      <c r="AD32" s="74" t="s">
        <v>445</v>
      </c>
      <c r="AE32" s="74" t="s">
        <v>332</v>
      </c>
      <c r="AF32" s="74" t="s">
        <v>442</v>
      </c>
      <c r="AG32" s="74" t="s">
        <v>332</v>
      </c>
      <c r="AH32" s="74" t="s">
        <v>342</v>
      </c>
      <c r="AI32" s="74" t="s">
        <v>332</v>
      </c>
      <c r="AJ32" s="74" t="s">
        <v>342</v>
      </c>
      <c r="AK32" s="74" t="s">
        <v>332</v>
      </c>
      <c r="AL32" s="74" t="s">
        <v>342</v>
      </c>
      <c r="AM32" s="74" t="s">
        <v>342</v>
      </c>
      <c r="AN32" s="74" t="s">
        <v>342</v>
      </c>
      <c r="AO32" s="74" t="s">
        <v>342</v>
      </c>
      <c r="AP32" s="74" t="s">
        <v>342</v>
      </c>
    </row>
    <row r="33" spans="1:42" ht="102">
      <c r="A33" s="160" t="s">
        <v>97</v>
      </c>
      <c r="C33" s="74" t="s">
        <v>325</v>
      </c>
      <c r="D33" s="197" t="s">
        <v>292</v>
      </c>
      <c r="E33" s="196" t="s">
        <v>467</v>
      </c>
      <c r="F33" s="74" t="s">
        <v>332</v>
      </c>
      <c r="G33" s="74" t="s">
        <v>332</v>
      </c>
      <c r="H33" s="74" t="s">
        <v>468</v>
      </c>
      <c r="I33" s="74" t="s">
        <v>469</v>
      </c>
      <c r="J33" s="74" t="s">
        <v>332</v>
      </c>
      <c r="K33" s="74" t="s">
        <v>470</v>
      </c>
      <c r="L33" s="74" t="s">
        <v>471</v>
      </c>
      <c r="M33" s="74" t="s">
        <v>332</v>
      </c>
      <c r="N33" s="74" t="s">
        <v>472</v>
      </c>
      <c r="O33" s="74" t="s">
        <v>279</v>
      </c>
      <c r="P33" s="74" t="s">
        <v>332</v>
      </c>
      <c r="Q33" s="74" t="s">
        <v>332</v>
      </c>
      <c r="R33" s="74" t="s">
        <v>473</v>
      </c>
      <c r="S33" s="74" t="s">
        <v>474</v>
      </c>
      <c r="T33" s="74" t="s">
        <v>435</v>
      </c>
      <c r="U33" s="74" t="s">
        <v>332</v>
      </c>
      <c r="V33" s="74" t="s">
        <v>332</v>
      </c>
      <c r="W33" s="74" t="s">
        <v>475</v>
      </c>
      <c r="X33" s="74" t="s">
        <v>332</v>
      </c>
      <c r="Y33" s="74" t="s">
        <v>212</v>
      </c>
      <c r="Z33" s="74" t="s">
        <v>454</v>
      </c>
      <c r="AA33" s="74" t="s">
        <v>332</v>
      </c>
      <c r="AB33" s="74" t="s">
        <v>476</v>
      </c>
      <c r="AC33" s="74" t="s">
        <v>477</v>
      </c>
      <c r="AD33" s="74" t="s">
        <v>332</v>
      </c>
      <c r="AE33" s="74" t="s">
        <v>342</v>
      </c>
      <c r="AF33" s="74" t="s">
        <v>332</v>
      </c>
      <c r="AG33" s="74" t="s">
        <v>432</v>
      </c>
      <c r="AH33" s="74" t="s">
        <v>342</v>
      </c>
      <c r="AI33" s="74" t="s">
        <v>332</v>
      </c>
      <c r="AJ33" s="74" t="s">
        <v>342</v>
      </c>
      <c r="AK33" s="74" t="s">
        <v>342</v>
      </c>
      <c r="AL33" s="74" t="s">
        <v>342</v>
      </c>
      <c r="AM33" s="74" t="s">
        <v>342</v>
      </c>
      <c r="AN33" s="74" t="s">
        <v>342</v>
      </c>
      <c r="AO33" s="74" t="s">
        <v>342</v>
      </c>
      <c r="AP33" s="74" t="s">
        <v>342</v>
      </c>
    </row>
    <row r="34" spans="1:42" ht="102">
      <c r="A34" s="160" t="s">
        <v>96</v>
      </c>
      <c r="C34" s="74" t="s">
        <v>325</v>
      </c>
      <c r="D34" s="197" t="s">
        <v>478</v>
      </c>
      <c r="E34" s="196" t="s">
        <v>479</v>
      </c>
      <c r="F34" s="74" t="s">
        <v>332</v>
      </c>
      <c r="G34" s="74" t="s">
        <v>332</v>
      </c>
      <c r="H34" s="74" t="s">
        <v>480</v>
      </c>
      <c r="I34" s="74" t="s">
        <v>481</v>
      </c>
      <c r="J34" s="74" t="s">
        <v>332</v>
      </c>
      <c r="K34" s="74" t="s">
        <v>482</v>
      </c>
      <c r="L34" s="74" t="s">
        <v>483</v>
      </c>
      <c r="M34" s="74" t="s">
        <v>332</v>
      </c>
      <c r="N34" s="74" t="s">
        <v>472</v>
      </c>
      <c r="O34" s="74" t="s">
        <v>279</v>
      </c>
      <c r="P34" s="74" t="s">
        <v>332</v>
      </c>
      <c r="Q34" s="74" t="s">
        <v>332</v>
      </c>
      <c r="R34" s="74" t="s">
        <v>484</v>
      </c>
      <c r="S34" s="74" t="s">
        <v>474</v>
      </c>
      <c r="T34" s="74" t="s">
        <v>435</v>
      </c>
      <c r="U34" s="74" t="s">
        <v>332</v>
      </c>
      <c r="V34" s="74" t="s">
        <v>332</v>
      </c>
      <c r="W34" s="74" t="s">
        <v>485</v>
      </c>
      <c r="X34" s="74" t="s">
        <v>332</v>
      </c>
      <c r="Y34" s="74" t="s">
        <v>332</v>
      </c>
      <c r="Z34" s="74" t="s">
        <v>454</v>
      </c>
      <c r="AA34" s="74" t="s">
        <v>332</v>
      </c>
      <c r="AB34" s="74" t="s">
        <v>486</v>
      </c>
      <c r="AC34" s="74" t="s">
        <v>487</v>
      </c>
      <c r="AD34" s="74" t="s">
        <v>432</v>
      </c>
      <c r="AE34" s="74" t="s">
        <v>332</v>
      </c>
      <c r="AF34" s="74" t="s">
        <v>332</v>
      </c>
      <c r="AG34" s="74" t="s">
        <v>432</v>
      </c>
      <c r="AH34" s="74" t="s">
        <v>342</v>
      </c>
      <c r="AI34" s="74" t="s">
        <v>332</v>
      </c>
      <c r="AJ34" s="74" t="s">
        <v>342</v>
      </c>
      <c r="AK34" s="74" t="s">
        <v>342</v>
      </c>
      <c r="AL34" s="74" t="s">
        <v>342</v>
      </c>
      <c r="AM34" s="74" t="s">
        <v>342</v>
      </c>
      <c r="AN34" s="74" t="s">
        <v>342</v>
      </c>
      <c r="AO34" s="74" t="s">
        <v>342</v>
      </c>
      <c r="AP34" s="74" t="s">
        <v>342</v>
      </c>
    </row>
    <row r="35" spans="1:42" ht="85">
      <c r="A35" s="160" t="s">
        <v>98</v>
      </c>
      <c r="D35" s="197" t="s">
        <v>208</v>
      </c>
      <c r="E35" s="196" t="s">
        <v>488</v>
      </c>
      <c r="F35" s="74" t="s">
        <v>332</v>
      </c>
      <c r="G35" s="74" t="s">
        <v>332</v>
      </c>
      <c r="H35" s="74" t="s">
        <v>489</v>
      </c>
      <c r="I35" s="74" t="s">
        <v>490</v>
      </c>
      <c r="J35" s="74" t="s">
        <v>332</v>
      </c>
      <c r="K35" s="74" t="s">
        <v>491</v>
      </c>
      <c r="L35" s="74" t="s">
        <v>492</v>
      </c>
      <c r="M35" s="74" t="s">
        <v>332</v>
      </c>
      <c r="N35" s="74" t="s">
        <v>236</v>
      </c>
      <c r="O35" s="74" t="s">
        <v>332</v>
      </c>
      <c r="P35" s="74" t="s">
        <v>332</v>
      </c>
      <c r="Q35" s="74" t="s">
        <v>332</v>
      </c>
      <c r="R35" s="74" t="s">
        <v>212</v>
      </c>
      <c r="S35" s="74" t="s">
        <v>432</v>
      </c>
      <c r="T35" s="74" t="s">
        <v>332</v>
      </c>
      <c r="U35" s="74" t="s">
        <v>332</v>
      </c>
      <c r="V35" s="74" t="s">
        <v>332</v>
      </c>
      <c r="W35" s="74" t="s">
        <v>493</v>
      </c>
      <c r="X35" s="74" t="s">
        <v>494</v>
      </c>
      <c r="Y35" s="74" t="s">
        <v>212</v>
      </c>
      <c r="Z35" s="74" t="s">
        <v>495</v>
      </c>
      <c r="AA35" s="74" t="s">
        <v>332</v>
      </c>
      <c r="AB35" s="74" t="s">
        <v>496</v>
      </c>
      <c r="AC35" s="74" t="s">
        <v>497</v>
      </c>
      <c r="AD35" s="74" t="s">
        <v>332</v>
      </c>
      <c r="AE35" s="74" t="s">
        <v>342</v>
      </c>
      <c r="AF35" s="74" t="s">
        <v>332</v>
      </c>
      <c r="AG35" s="74" t="s">
        <v>332</v>
      </c>
      <c r="AH35" s="74" t="s">
        <v>342</v>
      </c>
      <c r="AI35" s="74" t="s">
        <v>332</v>
      </c>
      <c r="AJ35" s="74" t="s">
        <v>342</v>
      </c>
      <c r="AK35" s="74" t="s">
        <v>332</v>
      </c>
      <c r="AL35" s="74" t="s">
        <v>342</v>
      </c>
      <c r="AM35" s="74" t="s">
        <v>342</v>
      </c>
      <c r="AN35" s="74" t="s">
        <v>342</v>
      </c>
      <c r="AO35" s="74" t="s">
        <v>342</v>
      </c>
      <c r="AP35" s="74" t="s">
        <v>342</v>
      </c>
    </row>
    <row r="36" spans="1:42" ht="51">
      <c r="A36" s="160" t="s">
        <v>101</v>
      </c>
      <c r="B36" s="74" t="s">
        <v>498</v>
      </c>
      <c r="D36" s="197" t="s">
        <v>330</v>
      </c>
      <c r="E36" s="197" t="s">
        <v>331</v>
      </c>
      <c r="F36" s="74" t="s">
        <v>332</v>
      </c>
      <c r="G36" s="74" t="s">
        <v>435</v>
      </c>
      <c r="H36" s="74" t="s">
        <v>499</v>
      </c>
      <c r="I36" s="74" t="s">
        <v>500</v>
      </c>
      <c r="J36" s="74" t="s">
        <v>435</v>
      </c>
      <c r="K36" s="200" t="s">
        <v>501</v>
      </c>
      <c r="L36" s="74" t="s">
        <v>332</v>
      </c>
      <c r="M36" s="74" t="s">
        <v>391</v>
      </c>
      <c r="N36" s="74" t="s">
        <v>403</v>
      </c>
      <c r="O36" s="74" t="s">
        <v>332</v>
      </c>
      <c r="P36" s="200" t="s">
        <v>389</v>
      </c>
      <c r="Q36" s="74" t="s">
        <v>332</v>
      </c>
      <c r="R36" s="74" t="s">
        <v>332</v>
      </c>
      <c r="S36" s="74" t="s">
        <v>403</v>
      </c>
      <c r="T36" s="74" t="s">
        <v>332</v>
      </c>
      <c r="U36" s="74" t="s">
        <v>342</v>
      </c>
      <c r="V36" s="74" t="s">
        <v>342</v>
      </c>
      <c r="W36" s="74" t="s">
        <v>391</v>
      </c>
      <c r="X36" s="74" t="s">
        <v>430</v>
      </c>
      <c r="Y36" s="74" t="s">
        <v>332</v>
      </c>
      <c r="Z36" s="74" t="s">
        <v>343</v>
      </c>
      <c r="AA36" s="74" t="s">
        <v>332</v>
      </c>
      <c r="AB36" s="74" t="s">
        <v>332</v>
      </c>
      <c r="AC36" s="74" t="s">
        <v>332</v>
      </c>
      <c r="AD36" s="74" t="s">
        <v>332</v>
      </c>
      <c r="AE36" s="74" t="s">
        <v>332</v>
      </c>
      <c r="AF36" s="74" t="s">
        <v>413</v>
      </c>
      <c r="AG36" s="74" t="s">
        <v>332</v>
      </c>
      <c r="AH36" s="74" t="s">
        <v>342</v>
      </c>
      <c r="AI36" s="74" t="s">
        <v>342</v>
      </c>
      <c r="AJ36" s="74" t="s">
        <v>342</v>
      </c>
      <c r="AK36" s="74" t="s">
        <v>342</v>
      </c>
      <c r="AL36" s="74" t="s">
        <v>342</v>
      </c>
      <c r="AM36" s="74" t="s">
        <v>342</v>
      </c>
      <c r="AN36" s="74" t="s">
        <v>342</v>
      </c>
      <c r="AO36" s="74" t="s">
        <v>342</v>
      </c>
      <c r="AP36" s="74" t="s">
        <v>342</v>
      </c>
    </row>
    <row r="37" spans="1:42">
      <c r="A37" s="159" t="s">
        <v>187</v>
      </c>
    </row>
    <row r="38" spans="1:42">
      <c r="A38" s="160" t="s">
        <v>105</v>
      </c>
    </row>
    <row r="39" spans="1:42" ht="17" thickBot="1">
      <c r="A39" s="160" t="s">
        <v>106</v>
      </c>
      <c r="D39" s="252" t="s">
        <v>502</v>
      </c>
      <c r="E39" s="253"/>
      <c r="F39" s="74">
        <v>1</v>
      </c>
      <c r="G39" s="74">
        <v>1</v>
      </c>
      <c r="H39" s="74">
        <v>1</v>
      </c>
      <c r="I39" s="74"/>
      <c r="J39" s="74">
        <v>2</v>
      </c>
      <c r="K39" s="74">
        <v>1</v>
      </c>
      <c r="L39" s="74">
        <v>1</v>
      </c>
      <c r="M39" s="74">
        <v>2</v>
      </c>
      <c r="N39" s="74">
        <v>0.5</v>
      </c>
      <c r="O39" s="74">
        <v>0.5</v>
      </c>
      <c r="P39" s="74">
        <v>1</v>
      </c>
      <c r="Q39" s="74">
        <v>2</v>
      </c>
      <c r="R39" s="74">
        <v>1</v>
      </c>
      <c r="S39" s="74">
        <v>0.5</v>
      </c>
      <c r="T39" s="74"/>
      <c r="U39" s="74">
        <v>0.5</v>
      </c>
      <c r="V39" s="74">
        <v>0.5</v>
      </c>
      <c r="W39" s="74">
        <v>1</v>
      </c>
      <c r="X39" s="74">
        <v>0.5</v>
      </c>
      <c r="Y39" s="74">
        <v>0.5</v>
      </c>
      <c r="Z39" s="74">
        <v>0.25</v>
      </c>
      <c r="AA39" s="74">
        <v>0.5</v>
      </c>
      <c r="AB39" s="74">
        <v>0.25</v>
      </c>
      <c r="AC39" s="74">
        <v>1</v>
      </c>
      <c r="AD39" s="74">
        <v>0.5</v>
      </c>
      <c r="AE39" s="74"/>
      <c r="AF39" s="74"/>
      <c r="AG39" s="74"/>
      <c r="AH39" s="74"/>
      <c r="AI39" s="74"/>
      <c r="AJ39" s="74"/>
      <c r="AK39" s="74"/>
      <c r="AL39" s="69"/>
      <c r="AM39" s="69"/>
      <c r="AN39" s="69"/>
      <c r="AO39" s="69"/>
    </row>
    <row r="40" spans="1:42" ht="17">
      <c r="A40" s="160" t="s">
        <v>108</v>
      </c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 t="s">
        <v>503</v>
      </c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69"/>
      <c r="AM40" s="69"/>
      <c r="AN40" s="69"/>
      <c r="AO40" s="69"/>
    </row>
    <row r="41" spans="1:42" ht="34">
      <c r="A41" s="160" t="s">
        <v>104</v>
      </c>
      <c r="D41" s="119" t="s">
        <v>504</v>
      </c>
      <c r="F41" s="74"/>
      <c r="G41" s="74" t="s">
        <v>505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69"/>
      <c r="AM41" s="69"/>
      <c r="AN41" s="69"/>
      <c r="AO41" s="69"/>
    </row>
    <row r="42" spans="1:42">
      <c r="A42" s="160" t="s">
        <v>109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69"/>
      <c r="AM42" s="69"/>
      <c r="AN42" s="69"/>
      <c r="AO42" s="69"/>
    </row>
    <row r="43" spans="1:42">
      <c r="A43" s="160" t="s">
        <v>103</v>
      </c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69"/>
      <c r="AM43" s="69"/>
      <c r="AN43" s="69"/>
      <c r="AO43" s="69"/>
    </row>
    <row r="44" spans="1:42">
      <c r="A44" s="160" t="s">
        <v>110</v>
      </c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69"/>
      <c r="AM44" s="69"/>
      <c r="AN44" s="69"/>
      <c r="AO44" s="69"/>
    </row>
    <row r="45" spans="1:42">
      <c r="A45" s="160" t="s">
        <v>90</v>
      </c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69"/>
      <c r="AM45" s="69"/>
      <c r="AN45" s="69"/>
      <c r="AO45" s="69"/>
    </row>
    <row r="46" spans="1:42">
      <c r="A46" s="160" t="s">
        <v>101</v>
      </c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69"/>
      <c r="AM46" s="69"/>
      <c r="AN46" s="69"/>
      <c r="AO46" s="69"/>
    </row>
    <row r="47" spans="1:42">
      <c r="A47" s="159" t="s">
        <v>347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69"/>
      <c r="AM47" s="69"/>
      <c r="AN47" s="69"/>
      <c r="AO47" s="69"/>
    </row>
    <row r="48" spans="1:42">
      <c r="A48" s="160" t="s">
        <v>95</v>
      </c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69"/>
      <c r="AM48" s="69"/>
      <c r="AN48" s="69"/>
      <c r="AO48" s="69"/>
    </row>
    <row r="49" spans="1:41">
      <c r="A49" s="159" t="s">
        <v>49</v>
      </c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69"/>
      <c r="AM49" s="69"/>
      <c r="AN49" s="69"/>
      <c r="AO49" s="69"/>
    </row>
    <row r="50" spans="1:41">
      <c r="A50" s="160" t="s">
        <v>125</v>
      </c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69"/>
      <c r="AM50" s="69"/>
      <c r="AN50" s="69"/>
      <c r="AO50" s="69"/>
    </row>
    <row r="51" spans="1:41">
      <c r="A51" s="160" t="s">
        <v>348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69"/>
      <c r="AM51" s="69"/>
      <c r="AN51" s="69"/>
      <c r="AO51" s="69"/>
    </row>
    <row r="52" spans="1:41">
      <c r="A52" s="160" t="s">
        <v>107</v>
      </c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69"/>
      <c r="AM52" s="69"/>
      <c r="AN52" s="69"/>
      <c r="AO52" s="69"/>
    </row>
    <row r="53" spans="1:41">
      <c r="A53" s="160" t="s">
        <v>127</v>
      </c>
    </row>
    <row r="54" spans="1:41">
      <c r="A54" s="160" t="s">
        <v>129</v>
      </c>
    </row>
    <row r="55" spans="1:41">
      <c r="A55" s="160" t="s">
        <v>117</v>
      </c>
    </row>
    <row r="56" spans="1:41">
      <c r="A56" s="160" t="s">
        <v>121</v>
      </c>
    </row>
    <row r="57" spans="1:41">
      <c r="A57" s="160" t="s">
        <v>124</v>
      </c>
    </row>
    <row r="58" spans="1:41">
      <c r="A58" s="160" t="s">
        <v>119</v>
      </c>
    </row>
    <row r="59" spans="1:41">
      <c r="A59" s="160" t="s">
        <v>50</v>
      </c>
    </row>
    <row r="60" spans="1:41">
      <c r="A60" s="160" t="s">
        <v>126</v>
      </c>
    </row>
    <row r="61" spans="1:41">
      <c r="A61" s="160" t="s">
        <v>130</v>
      </c>
    </row>
    <row r="62" spans="1:41">
      <c r="A62" s="159" t="s">
        <v>51</v>
      </c>
    </row>
    <row r="63" spans="1:41">
      <c r="A63" s="160" t="s">
        <v>136</v>
      </c>
    </row>
    <row r="64" spans="1:41">
      <c r="A64" s="160" t="s">
        <v>138</v>
      </c>
    </row>
    <row r="65" spans="1:1">
      <c r="A65" s="160" t="s">
        <v>137</v>
      </c>
    </row>
    <row r="66" spans="1:1">
      <c r="A66" s="160" t="s">
        <v>132</v>
      </c>
    </row>
    <row r="67" spans="1:1">
      <c r="A67" s="160" t="s">
        <v>139</v>
      </c>
    </row>
    <row r="68" spans="1:1">
      <c r="A68" s="160" t="s">
        <v>133</v>
      </c>
    </row>
    <row r="69" spans="1:1">
      <c r="A69" s="160" t="s">
        <v>134</v>
      </c>
    </row>
    <row r="70" spans="1:1">
      <c r="A70" s="160" t="s">
        <v>140</v>
      </c>
    </row>
    <row r="71" spans="1:1">
      <c r="A71" s="160" t="s">
        <v>141</v>
      </c>
    </row>
    <row r="72" spans="1:1">
      <c r="A72" s="160" t="s">
        <v>135</v>
      </c>
    </row>
    <row r="73" spans="1:1">
      <c r="A73" s="159" t="s">
        <v>274</v>
      </c>
    </row>
  </sheetData>
  <mergeCells count="13">
    <mergeCell ref="D22:E22"/>
    <mergeCell ref="D28:E28"/>
    <mergeCell ref="D39:E39"/>
    <mergeCell ref="B21:B22"/>
    <mergeCell ref="C21:C22"/>
    <mergeCell ref="G16:K16"/>
    <mergeCell ref="G17:K17"/>
    <mergeCell ref="G15:P15"/>
    <mergeCell ref="D4:D9"/>
    <mergeCell ref="E4:E9"/>
    <mergeCell ref="G12:K12"/>
    <mergeCell ref="G13:K13"/>
    <mergeCell ref="G14:K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12FC-4BD9-B54E-8AA1-3E43BBC031B7}">
  <sheetPr codeName="Sheet24"/>
  <dimension ref="A1:AP68"/>
  <sheetViews>
    <sheetView topLeftCell="A8" zoomScale="113" workbookViewId="0">
      <selection activeCell="D13" sqref="D13:D18"/>
    </sheetView>
  </sheetViews>
  <sheetFormatPr baseColWidth="10" defaultColWidth="11" defaultRowHeight="16"/>
  <cols>
    <col min="1" max="1" width="29.6640625" bestFit="1" customWidth="1"/>
    <col min="2" max="2" width="19.5" style="74" bestFit="1" customWidth="1"/>
    <col min="3" max="3" width="7.5" style="74" customWidth="1"/>
    <col min="4" max="4" width="10" customWidth="1"/>
    <col min="5" max="5" width="9.5" bestFit="1" customWidth="1"/>
    <col min="6" max="6" width="9.1640625" bestFit="1" customWidth="1"/>
    <col min="7" max="7" width="16.6640625" bestFit="1" customWidth="1"/>
    <col min="8" max="8" width="16" bestFit="1" customWidth="1"/>
    <col min="9" max="9" width="16.83203125" bestFit="1" customWidth="1"/>
    <col min="10" max="10" width="13.6640625" bestFit="1" customWidth="1"/>
    <col min="11" max="11" width="13.5" bestFit="1" customWidth="1"/>
    <col min="12" max="12" width="10.33203125" bestFit="1" customWidth="1"/>
    <col min="13" max="13" width="10.5" bestFit="1" customWidth="1"/>
    <col min="14" max="14" width="9.6640625" customWidth="1"/>
    <col min="15" max="15" width="11.1640625" customWidth="1"/>
    <col min="16" max="16" width="7.83203125" bestFit="1" customWidth="1"/>
    <col min="17" max="17" width="9.1640625" bestFit="1" customWidth="1"/>
    <col min="18" max="18" width="10" bestFit="1" customWidth="1"/>
    <col min="19" max="19" width="9.33203125" bestFit="1" customWidth="1"/>
    <col min="20" max="20" width="10.6640625" bestFit="1" customWidth="1"/>
    <col min="21" max="21" width="12.6640625" customWidth="1"/>
    <col min="22" max="22" width="9.33203125" bestFit="1" customWidth="1"/>
    <col min="23" max="23" width="10" bestFit="1" customWidth="1"/>
    <col min="24" max="24" width="10.6640625" bestFit="1" customWidth="1"/>
    <col min="25" max="25" width="6.6640625" bestFit="1" customWidth="1"/>
    <col min="26" max="26" width="6.6640625" customWidth="1"/>
    <col min="27" max="27" width="9" bestFit="1" customWidth="1"/>
    <col min="28" max="28" width="21" bestFit="1" customWidth="1"/>
    <col min="29" max="29" width="11.6640625" bestFit="1" customWidth="1"/>
    <col min="30" max="30" width="9.33203125" bestFit="1" customWidth="1"/>
    <col min="31" max="31" width="6.1640625" bestFit="1" customWidth="1"/>
    <col min="33" max="33" width="13.6640625" bestFit="1" customWidth="1"/>
    <col min="34" max="34" width="9.1640625" bestFit="1" customWidth="1"/>
    <col min="35" max="35" width="11.6640625" bestFit="1" customWidth="1"/>
    <col min="36" max="36" width="13.6640625" bestFit="1" customWidth="1"/>
    <col min="37" max="37" width="19" bestFit="1" customWidth="1"/>
    <col min="38" max="38" width="17.33203125" bestFit="1" customWidth="1"/>
    <col min="39" max="39" width="8.1640625" bestFit="1" customWidth="1"/>
    <col min="40" max="40" width="4.83203125" bestFit="1" customWidth="1"/>
    <col min="41" max="41" width="9.33203125" bestFit="1" customWidth="1"/>
    <col min="42" max="42" width="6.5" bestFit="1" customWidth="1"/>
    <col min="43" max="43" width="5" bestFit="1" customWidth="1"/>
    <col min="44" max="44" width="12.1640625" bestFit="1" customWidth="1"/>
    <col min="45" max="45" width="7" bestFit="1" customWidth="1"/>
    <col min="46" max="46" width="6.6640625" bestFit="1" customWidth="1"/>
    <col min="47" max="47" width="7.6640625" bestFit="1" customWidth="1"/>
    <col min="48" max="48" width="18" bestFit="1" customWidth="1"/>
    <col min="49" max="49" width="15.83203125" bestFit="1" customWidth="1"/>
    <col min="50" max="50" width="20.83203125" bestFit="1" customWidth="1"/>
    <col min="51" max="51" width="11.33203125" bestFit="1" customWidth="1"/>
    <col min="52" max="52" width="12.83203125" bestFit="1" customWidth="1"/>
    <col min="53" max="53" width="20.1640625" bestFit="1" customWidth="1"/>
    <col min="54" max="54" width="6" bestFit="1" customWidth="1"/>
    <col min="55" max="55" width="19.5" bestFit="1" customWidth="1"/>
    <col min="56" max="56" width="10.5" bestFit="1" customWidth="1"/>
    <col min="57" max="57" width="9.5" bestFit="1" customWidth="1"/>
    <col min="58" max="58" width="9.6640625" bestFit="1" customWidth="1"/>
    <col min="59" max="60" width="9.33203125" bestFit="1" customWidth="1"/>
    <col min="61" max="61" width="14.83203125" bestFit="1" customWidth="1"/>
    <col min="62" max="62" width="11.83203125" bestFit="1" customWidth="1"/>
    <col min="63" max="63" width="10.6640625" bestFit="1" customWidth="1"/>
    <col min="64" max="64" width="13.5" bestFit="1" customWidth="1"/>
    <col min="65" max="65" width="13.6640625" bestFit="1" customWidth="1"/>
    <col min="66" max="66" width="15.1640625" bestFit="1" customWidth="1"/>
    <col min="67" max="67" width="16.6640625" bestFit="1" customWidth="1"/>
    <col min="68" max="68" width="6.33203125" bestFit="1" customWidth="1"/>
    <col min="69" max="69" width="6.83203125" bestFit="1" customWidth="1"/>
    <col min="70" max="70" width="5.6640625" bestFit="1" customWidth="1"/>
    <col min="71" max="71" width="11.33203125" bestFit="1" customWidth="1"/>
    <col min="72" max="72" width="14.5" bestFit="1" customWidth="1"/>
    <col min="73" max="73" width="12.33203125" bestFit="1" customWidth="1"/>
    <col min="74" max="74" width="12.6640625" bestFit="1" customWidth="1"/>
    <col min="75" max="75" width="12.33203125" bestFit="1" customWidth="1"/>
    <col min="76" max="76" width="13.1640625" bestFit="1" customWidth="1"/>
    <col min="77" max="77" width="8" bestFit="1" customWidth="1"/>
    <col min="78" max="78" width="9.1640625" bestFit="1" customWidth="1"/>
    <col min="79" max="79" width="7" bestFit="1" customWidth="1"/>
    <col min="80" max="80" width="11.1640625" bestFit="1" customWidth="1"/>
    <col min="81" max="81" width="10" bestFit="1" customWidth="1"/>
    <col min="82" max="82" width="10.1640625" bestFit="1" customWidth="1"/>
    <col min="83" max="83" width="7" bestFit="1" customWidth="1"/>
  </cols>
  <sheetData>
    <row r="1" spans="1:16" ht="68">
      <c r="A1" s="158" t="s">
        <v>4</v>
      </c>
      <c r="B1" s="74" t="s">
        <v>149</v>
      </c>
      <c r="D1" s="155"/>
      <c r="E1" s="87"/>
      <c r="I1" s="164" t="s">
        <v>150</v>
      </c>
      <c r="J1" s="187">
        <v>50</v>
      </c>
      <c r="K1" s="80"/>
      <c r="L1" s="190" t="s">
        <v>506</v>
      </c>
      <c r="M1" s="191">
        <v>10</v>
      </c>
      <c r="O1" s="87" t="s">
        <v>507</v>
      </c>
      <c r="P1" s="191">
        <v>10</v>
      </c>
    </row>
    <row r="2" spans="1:16">
      <c r="D2" s="155"/>
      <c r="E2" s="87"/>
      <c r="I2" s="73"/>
      <c r="J2" s="73"/>
      <c r="K2" s="80"/>
      <c r="L2" s="80"/>
      <c r="O2" s="163">
        <f>MIN($D$24)</f>
        <v>55.962819066898014</v>
      </c>
    </row>
    <row r="3" spans="1:16" ht="21" customHeight="1">
      <c r="A3" s="158" t="s">
        <v>151</v>
      </c>
      <c r="F3" s="256" t="s">
        <v>508</v>
      </c>
      <c r="G3" s="256"/>
      <c r="H3" s="256"/>
      <c r="I3" s="256"/>
      <c r="J3" s="256"/>
      <c r="O3">
        <f>COUNT($E$24:$E$29)</f>
        <v>6</v>
      </c>
    </row>
    <row r="4" spans="1:16" ht="19">
      <c r="A4" s="159" t="s">
        <v>22</v>
      </c>
      <c r="F4" s="241" t="s">
        <v>164</v>
      </c>
      <c r="G4" s="241"/>
      <c r="H4" s="241"/>
      <c r="I4" s="241"/>
      <c r="J4" s="241"/>
      <c r="K4" s="159"/>
      <c r="L4" s="159"/>
      <c r="M4" s="159"/>
      <c r="O4" t="b">
        <f>$D$24&lt;=37</f>
        <v>0</v>
      </c>
    </row>
    <row r="5" spans="1:16" ht="19">
      <c r="A5" s="160" t="s">
        <v>47</v>
      </c>
      <c r="F5" s="241" t="s">
        <v>509</v>
      </c>
      <c r="G5" s="241"/>
      <c r="H5" s="241"/>
      <c r="I5" s="241"/>
      <c r="J5" s="241"/>
      <c r="K5" s="159"/>
      <c r="L5" s="159"/>
      <c r="M5" s="159"/>
      <c r="O5" t="b">
        <f>$D$24&gt;=34.5</f>
        <v>1</v>
      </c>
    </row>
    <row r="6" spans="1:16" ht="19">
      <c r="A6" s="160" t="s">
        <v>120</v>
      </c>
      <c r="F6" s="241" t="s">
        <v>166</v>
      </c>
      <c r="G6" s="241"/>
      <c r="H6" s="241"/>
      <c r="I6" s="241"/>
      <c r="J6" s="241"/>
      <c r="K6" s="241"/>
      <c r="L6" s="241"/>
      <c r="M6" s="241"/>
      <c r="O6" t="b">
        <f>$E$24&lt;=3</f>
        <v>0</v>
      </c>
    </row>
    <row r="7" spans="1:16" ht="19">
      <c r="A7" s="160" t="s">
        <v>37</v>
      </c>
      <c r="F7" s="241" t="s">
        <v>167</v>
      </c>
      <c r="G7" s="241"/>
      <c r="H7" s="241"/>
      <c r="I7" s="241"/>
      <c r="J7" s="241"/>
      <c r="K7" s="159"/>
      <c r="L7" s="159"/>
      <c r="M7" s="159"/>
      <c r="O7" t="b">
        <f>$E$24&gt;=2</f>
        <v>1</v>
      </c>
    </row>
    <row r="8" spans="1:16" ht="19">
      <c r="A8" s="160" t="s">
        <v>48</v>
      </c>
      <c r="F8" s="241" t="s">
        <v>168</v>
      </c>
      <c r="G8" s="241"/>
      <c r="H8" s="241"/>
      <c r="I8" s="241"/>
      <c r="J8" s="241"/>
      <c r="K8" s="159"/>
      <c r="L8" s="159"/>
      <c r="M8" s="159"/>
      <c r="O8" t="b">
        <f t="array" ref="O8">$E$24:$E$29=INT($E$24:$E$29)</f>
        <v>1</v>
      </c>
    </row>
    <row r="9" spans="1:16">
      <c r="A9" s="160" t="s">
        <v>54</v>
      </c>
      <c r="O9" t="b">
        <f>$E$25&gt;=3</f>
        <v>1</v>
      </c>
    </row>
    <row r="10" spans="1:16" ht="17" customHeight="1">
      <c r="A10" s="159" t="s">
        <v>26</v>
      </c>
      <c r="D10" s="155"/>
      <c r="E10" s="87"/>
      <c r="I10" s="80"/>
      <c r="J10" s="154"/>
      <c r="K10" s="80"/>
      <c r="L10" s="154"/>
      <c r="O10" t="b">
        <f>$E$26&lt;=2</f>
        <v>0</v>
      </c>
    </row>
    <row r="11" spans="1:16" ht="17" customHeight="1">
      <c r="A11" s="160" t="s">
        <v>82</v>
      </c>
      <c r="D11" s="155"/>
      <c r="E11" s="87"/>
      <c r="I11" s="80"/>
      <c r="J11" s="154"/>
      <c r="K11" s="80"/>
      <c r="L11" s="154"/>
      <c r="O11" t="b">
        <f>$E$26&gt;=1</f>
        <v>1</v>
      </c>
    </row>
    <row r="12" spans="1:16" ht="82" customHeight="1" thickBot="1">
      <c r="A12" s="160" t="s">
        <v>83</v>
      </c>
      <c r="B12" s="254" t="s">
        <v>510</v>
      </c>
      <c r="C12" s="202"/>
      <c r="D12" s="173"/>
      <c r="E12" s="174" t="s">
        <v>152</v>
      </c>
      <c r="F12" s="174" t="s">
        <v>153</v>
      </c>
      <c r="G12" s="175"/>
      <c r="H12" s="175"/>
      <c r="I12" s="176" t="s">
        <v>154</v>
      </c>
      <c r="J12" s="176" t="s">
        <v>155</v>
      </c>
      <c r="K12" s="177"/>
      <c r="L12" s="178" t="s">
        <v>156</v>
      </c>
      <c r="O12" t="b">
        <f>$E$27=3</f>
        <v>0</v>
      </c>
    </row>
    <row r="13" spans="1:16" ht="17" thickTop="1">
      <c r="A13" s="160" t="s">
        <v>84</v>
      </c>
      <c r="B13" s="255"/>
      <c r="C13" s="246" t="s">
        <v>511</v>
      </c>
      <c r="D13" s="248">
        <f>SUMPRODUCT(E13:E18, I13:I18)</f>
        <v>34.883142068457857</v>
      </c>
      <c r="E13" s="212">
        <v>3</v>
      </c>
      <c r="F13" s="119">
        <f t="shared" ref="F13:F18" si="0">$M$1*E13</f>
        <v>30</v>
      </c>
      <c r="H13" t="s">
        <v>157</v>
      </c>
      <c r="I13" s="80">
        <f>AVERAGEIFS('Master Variety List'!E:E, 'Master Variety List'!A:A, "*Fall*", 'Master Variety List'!B:B, "*Focal*")</f>
        <v>2.6453333333333333</v>
      </c>
      <c r="J13" s="188">
        <v>400</v>
      </c>
      <c r="K13" s="80"/>
      <c r="L13" s="166">
        <f t="shared" ref="L13:L18" si="1">J13-F13</f>
        <v>370</v>
      </c>
      <c r="O13" t="b">
        <f>$E$28&gt;=1</f>
        <v>1</v>
      </c>
    </row>
    <row r="14" spans="1:16">
      <c r="A14" s="160" t="s">
        <v>85</v>
      </c>
      <c r="B14" s="255"/>
      <c r="C14" s="246"/>
      <c r="D14" s="248"/>
      <c r="E14" s="212">
        <v>7</v>
      </c>
      <c r="F14" s="119">
        <f t="shared" si="0"/>
        <v>70</v>
      </c>
      <c r="H14" t="s">
        <v>158</v>
      </c>
      <c r="I14" s="80">
        <f>AVERAGEIFS('Master Variety List'!E:E, 'Master Variety List'!A:A, "*Fall*", 'Master Variety List'!B:B, "*Foundation*")</f>
        <v>1.6591883116883117</v>
      </c>
      <c r="J14" s="188">
        <v>400</v>
      </c>
      <c r="K14" s="80"/>
      <c r="L14" s="166">
        <f t="shared" si="1"/>
        <v>330</v>
      </c>
      <c r="O14" t="b">
        <f>$E$29=3</f>
        <v>0</v>
      </c>
    </row>
    <row r="15" spans="1:16">
      <c r="A15" s="160" t="s">
        <v>37</v>
      </c>
      <c r="B15" s="255"/>
      <c r="C15" s="246"/>
      <c r="D15" s="248"/>
      <c r="E15" s="212">
        <v>1</v>
      </c>
      <c r="F15" s="119">
        <f t="shared" si="0"/>
        <v>10</v>
      </c>
      <c r="H15" t="s">
        <v>159</v>
      </c>
      <c r="I15" s="80">
        <f>AVERAGEIFS('Master Variety List'!E:E, 'Master Variety List'!A:A, "*Fall*", 'Master Variety List'!B:B, "*Filler*")</f>
        <v>1.6082894736842104</v>
      </c>
      <c r="J15" s="188">
        <v>120</v>
      </c>
      <c r="K15" s="80"/>
      <c r="L15" s="166">
        <f t="shared" si="1"/>
        <v>110</v>
      </c>
      <c r="O15" t="b">
        <f>$F$24&lt;=$J$24</f>
        <v>1</v>
      </c>
    </row>
    <row r="16" spans="1:16">
      <c r="A16" s="160" t="s">
        <v>86</v>
      </c>
      <c r="B16" s="255"/>
      <c r="C16" s="246"/>
      <c r="D16" s="248"/>
      <c r="E16" s="212">
        <v>3</v>
      </c>
      <c r="F16" s="119">
        <f t="shared" si="0"/>
        <v>30</v>
      </c>
      <c r="H16" t="s">
        <v>349</v>
      </c>
      <c r="I16" s="80">
        <f>AVERAGEIFS('Master Variety List'!E:E, 'Master Variety List'!A:A, "*Fall*", 'Master Variety List'!B:B, "*Float*")</f>
        <v>1.3608333333333333</v>
      </c>
      <c r="J16" s="188">
        <v>200</v>
      </c>
      <c r="K16" s="80"/>
      <c r="L16" s="166">
        <f t="shared" si="1"/>
        <v>170</v>
      </c>
      <c r="O16" t="b">
        <f>$F$25&lt;=$J$25</f>
        <v>1</v>
      </c>
    </row>
    <row r="17" spans="1:15">
      <c r="A17" s="160" t="s">
        <v>80</v>
      </c>
      <c r="B17" s="255"/>
      <c r="C17" s="246"/>
      <c r="D17" s="248"/>
      <c r="E17" s="212">
        <v>3</v>
      </c>
      <c r="F17" s="119">
        <f t="shared" si="0"/>
        <v>30</v>
      </c>
      <c r="H17" t="s">
        <v>161</v>
      </c>
      <c r="I17" s="80">
        <f>AVERAGEIFS('Master Variety List'!E:E, 'Master Variety List'!A:A, "*Fall*", 'Master Variety List'!B:B, "*Finisher*")</f>
        <v>1.7747807017543862</v>
      </c>
      <c r="J17" s="188">
        <v>250</v>
      </c>
      <c r="K17" s="80"/>
      <c r="L17" s="166">
        <f t="shared" si="1"/>
        <v>220</v>
      </c>
      <c r="O17" t="b">
        <f>$F$26&lt;=$J$26</f>
        <v>1</v>
      </c>
    </row>
    <row r="18" spans="1:15">
      <c r="A18" s="160" t="s">
        <v>122</v>
      </c>
      <c r="B18" s="255"/>
      <c r="C18" s="247"/>
      <c r="D18" s="249"/>
      <c r="E18" s="167">
        <v>3</v>
      </c>
      <c r="F18" s="168">
        <f t="shared" si="0"/>
        <v>30</v>
      </c>
      <c r="G18" s="169"/>
      <c r="H18" s="169" t="s">
        <v>162</v>
      </c>
      <c r="I18" s="170">
        <f>AVERAGEIFS('Master Variety List'!E:E, 'Master Variety List'!A:A, "*Fall*", 'Master Variety List'!B:B, "*Foliage*")</f>
        <v>1.4392307692307693</v>
      </c>
      <c r="J18" s="189">
        <v>300</v>
      </c>
      <c r="K18" s="170"/>
      <c r="L18" s="171">
        <f t="shared" si="1"/>
        <v>270</v>
      </c>
      <c r="O18" t="b">
        <f>$F$27&lt;=$J$27</f>
        <v>1</v>
      </c>
    </row>
    <row r="19" spans="1:15" ht="17" customHeight="1">
      <c r="A19" s="160" t="s">
        <v>81</v>
      </c>
      <c r="D19" s="155"/>
      <c r="E19" s="87"/>
      <c r="I19" s="80"/>
      <c r="J19" s="154"/>
      <c r="K19" s="80"/>
      <c r="L19" s="154"/>
      <c r="O19" t="b">
        <f>$F$28&lt;=$J$28</f>
        <v>1</v>
      </c>
    </row>
    <row r="20" spans="1:15">
      <c r="A20" s="160" t="s">
        <v>88</v>
      </c>
      <c r="D20" s="155"/>
      <c r="E20" s="87"/>
      <c r="I20" s="80"/>
      <c r="J20" s="154"/>
      <c r="K20" s="80"/>
      <c r="L20" s="154"/>
      <c r="O20" t="b">
        <f>$F$29&lt;=$J$29</f>
        <v>1</v>
      </c>
    </row>
    <row r="21" spans="1:15">
      <c r="A21" s="160" t="s">
        <v>91</v>
      </c>
      <c r="D21" s="155"/>
      <c r="E21" s="87"/>
      <c r="I21" s="80"/>
      <c r="J21" s="154"/>
      <c r="K21" s="80"/>
      <c r="L21" s="154"/>
      <c r="O21">
        <f>{32767,32767,0.000001,0.01,FALSE,FALSE,TRUE,1,1,1,0.0001,TRUE}</f>
        <v>32767</v>
      </c>
    </row>
    <row r="22" spans="1:15">
      <c r="A22" s="160" t="s">
        <v>87</v>
      </c>
      <c r="D22" s="155"/>
      <c r="E22" s="87"/>
      <c r="I22" s="80"/>
      <c r="J22" s="154"/>
      <c r="K22" s="80"/>
      <c r="L22" s="154"/>
      <c r="O22">
        <f>{0,0,0,100,0,FALSE,TRUE,0.075,0,0,FALSE,30}</f>
        <v>0</v>
      </c>
    </row>
    <row r="23" spans="1:15" ht="87" customHeight="1" thickBot="1">
      <c r="A23" s="160" t="s">
        <v>90</v>
      </c>
      <c r="B23" s="254" t="s">
        <v>512</v>
      </c>
      <c r="C23" s="202"/>
      <c r="D23" s="173"/>
      <c r="E23" s="174" t="s">
        <v>152</v>
      </c>
      <c r="F23" s="174" t="s">
        <v>153</v>
      </c>
      <c r="G23" s="175"/>
      <c r="H23" s="175"/>
      <c r="I23" s="176" t="s">
        <v>154</v>
      </c>
      <c r="J23" s="176" t="s">
        <v>155</v>
      </c>
      <c r="K23" s="177"/>
      <c r="L23" s="178" t="s">
        <v>156</v>
      </c>
    </row>
    <row r="24" spans="1:15" ht="17" thickTop="1">
      <c r="A24" s="159" t="s">
        <v>421</v>
      </c>
      <c r="B24" s="255"/>
      <c r="C24" s="246" t="s">
        <v>511</v>
      </c>
      <c r="D24" s="248">
        <f>SUMPRODUCT(I24:I29, E24:E29)</f>
        <v>55.962819066898014</v>
      </c>
      <c r="E24" s="212">
        <v>5</v>
      </c>
      <c r="F24" s="119">
        <f>$M$1*E24</f>
        <v>50</v>
      </c>
      <c r="H24" t="s">
        <v>157</v>
      </c>
      <c r="I24" s="80">
        <f>AVERAGEIFS('Master Variety List'!E:E, 'Master Variety List'!A:A, "*Fall*", 'Master Variety List'!B:B, "*Focal*")</f>
        <v>2.6453333333333333</v>
      </c>
      <c r="J24" s="192">
        <f t="shared" ref="J24:J29" si="2">L13</f>
        <v>370</v>
      </c>
      <c r="K24" s="80"/>
      <c r="L24" s="166">
        <f t="shared" ref="L24:L29" si="3">J24-F24</f>
        <v>320</v>
      </c>
    </row>
    <row r="25" spans="1:15">
      <c r="A25" s="160" t="s">
        <v>89</v>
      </c>
      <c r="B25" s="255"/>
      <c r="C25" s="246"/>
      <c r="D25" s="248"/>
      <c r="E25" s="212">
        <v>11</v>
      </c>
      <c r="F25" s="119">
        <f>$M$1*E25</f>
        <v>110</v>
      </c>
      <c r="H25" t="s">
        <v>158</v>
      </c>
      <c r="I25" s="80">
        <f>AVERAGEIFS('Master Variety List'!E:E, 'Master Variety List'!A:A, "*Fall*", 'Master Variety List'!B:B, "*Foundation*")</f>
        <v>1.6591883116883117</v>
      </c>
      <c r="J25" s="192">
        <f t="shared" si="2"/>
        <v>330</v>
      </c>
      <c r="K25" s="80"/>
      <c r="L25" s="166">
        <f t="shared" si="3"/>
        <v>220</v>
      </c>
    </row>
    <row r="26" spans="1:15">
      <c r="A26" s="159" t="s">
        <v>33</v>
      </c>
      <c r="B26" s="255"/>
      <c r="C26" s="246"/>
      <c r="D26" s="248"/>
      <c r="E26" s="212">
        <v>3</v>
      </c>
      <c r="F26" s="119">
        <f t="shared" ref="F26:F29" si="4">$M$1*E26</f>
        <v>30</v>
      </c>
      <c r="H26" t="s">
        <v>159</v>
      </c>
      <c r="I26" s="80">
        <f>AVERAGEIFS('Master Variety List'!E:E, 'Master Variety List'!A:A, "*Fall*", 'Master Variety List'!B:B, "*Filler*")</f>
        <v>1.6082894736842104</v>
      </c>
      <c r="J26" s="192">
        <f t="shared" si="2"/>
        <v>110</v>
      </c>
      <c r="K26" s="80"/>
      <c r="L26" s="166">
        <f t="shared" si="3"/>
        <v>80</v>
      </c>
    </row>
    <row r="27" spans="1:15">
      <c r="A27" s="160" t="s">
        <v>99</v>
      </c>
      <c r="B27" s="255"/>
      <c r="C27" s="246"/>
      <c r="D27" s="248"/>
      <c r="E27" s="212">
        <v>5</v>
      </c>
      <c r="F27" s="119">
        <f t="shared" si="4"/>
        <v>50</v>
      </c>
      <c r="H27" t="s">
        <v>349</v>
      </c>
      <c r="I27" s="80">
        <f>AVERAGEIFS('Master Variety List'!E:E, 'Master Variety List'!A:A, "*Fall*", 'Master Variety List'!B:B, "*Float*")</f>
        <v>1.3608333333333333</v>
      </c>
      <c r="J27" s="192">
        <f t="shared" si="2"/>
        <v>170</v>
      </c>
      <c r="K27" s="80"/>
      <c r="L27" s="166">
        <f t="shared" si="3"/>
        <v>120</v>
      </c>
    </row>
    <row r="28" spans="1:15">
      <c r="A28" s="160" t="s">
        <v>100</v>
      </c>
      <c r="B28" s="255"/>
      <c r="C28" s="246"/>
      <c r="D28" s="248"/>
      <c r="E28" s="212">
        <v>4</v>
      </c>
      <c r="F28" s="119">
        <f t="shared" si="4"/>
        <v>40</v>
      </c>
      <c r="H28" t="s">
        <v>161</v>
      </c>
      <c r="I28" s="80">
        <f>AVERAGEIFS('Master Variety List'!E:E, 'Master Variety List'!A:A, "*Fall*", 'Master Variety List'!B:B, "*Finisher*")</f>
        <v>1.7747807017543862</v>
      </c>
      <c r="J28" s="192">
        <f t="shared" si="2"/>
        <v>220</v>
      </c>
      <c r="K28" s="80"/>
      <c r="L28" s="166">
        <f t="shared" si="3"/>
        <v>180</v>
      </c>
    </row>
    <row r="29" spans="1:15">
      <c r="A29" s="160" t="s">
        <v>97</v>
      </c>
      <c r="B29" s="255"/>
      <c r="C29" s="247"/>
      <c r="D29" s="249"/>
      <c r="E29" s="167">
        <v>4</v>
      </c>
      <c r="F29" s="207">
        <f t="shared" si="4"/>
        <v>40</v>
      </c>
      <c r="G29" s="169"/>
      <c r="H29" s="169" t="s">
        <v>162</v>
      </c>
      <c r="I29" s="170">
        <f>AVERAGEIFS('Master Variety List'!E:E, 'Master Variety List'!A:A, "*Fall*", 'Master Variety List'!B:B, "*Foliage*")</f>
        <v>1.4392307692307693</v>
      </c>
      <c r="J29" s="193">
        <f t="shared" si="2"/>
        <v>270</v>
      </c>
      <c r="K29" s="170"/>
      <c r="L29" s="171">
        <f t="shared" si="3"/>
        <v>230</v>
      </c>
    </row>
    <row r="30" spans="1:15">
      <c r="A30" s="160" t="s">
        <v>98</v>
      </c>
      <c r="D30" s="155"/>
      <c r="E30" s="87"/>
      <c r="I30" s="80"/>
      <c r="J30" s="154"/>
      <c r="K30" s="80"/>
      <c r="L30" s="154"/>
    </row>
    <row r="31" spans="1:15">
      <c r="A31" s="160" t="s">
        <v>101</v>
      </c>
      <c r="D31" s="155"/>
      <c r="E31" s="87"/>
      <c r="I31" s="80"/>
      <c r="J31" s="154"/>
      <c r="K31" s="80"/>
      <c r="L31" s="154"/>
    </row>
    <row r="32" spans="1:15">
      <c r="A32" s="159" t="s">
        <v>187</v>
      </c>
      <c r="D32" s="155"/>
      <c r="E32" s="87"/>
      <c r="I32" s="80"/>
      <c r="J32" s="154"/>
      <c r="K32" s="80"/>
      <c r="L32" s="154"/>
    </row>
    <row r="33" spans="1:12" ht="86" thickBot="1">
      <c r="A33" s="160" t="s">
        <v>105</v>
      </c>
      <c r="B33" s="254" t="s">
        <v>513</v>
      </c>
      <c r="C33" s="202"/>
      <c r="D33" s="173"/>
      <c r="E33" s="174" t="s">
        <v>152</v>
      </c>
      <c r="F33" s="174" t="s">
        <v>153</v>
      </c>
      <c r="G33" s="175"/>
      <c r="H33" s="175"/>
      <c r="I33" s="176" t="s">
        <v>514</v>
      </c>
      <c r="J33" s="176" t="s">
        <v>155</v>
      </c>
      <c r="K33" s="177"/>
      <c r="L33" s="178" t="s">
        <v>156</v>
      </c>
    </row>
    <row r="34" spans="1:12" ht="17" thickTop="1">
      <c r="A34" s="160" t="s">
        <v>106</v>
      </c>
      <c r="B34" s="255"/>
      <c r="C34" s="246" t="s">
        <v>511</v>
      </c>
      <c r="D34" s="248">
        <f>SUMPRODUCT(E34:E39, I34:I39)</f>
        <v>21.882016562384987</v>
      </c>
      <c r="E34" s="212">
        <v>1</v>
      </c>
      <c r="F34" s="119">
        <f>$P$1*E34</f>
        <v>10</v>
      </c>
      <c r="H34" t="s">
        <v>157</v>
      </c>
      <c r="I34" s="80">
        <f>AVERAGEIFS('Master Variety List'!E:E, 'Master Variety List'!A:A, "*Fall*", 'Master Variety List'!B:B, "*Focal*")</f>
        <v>2.6453333333333333</v>
      </c>
      <c r="J34" s="192">
        <f t="shared" ref="J34:J39" si="5">L24</f>
        <v>320</v>
      </c>
      <c r="K34" s="80"/>
      <c r="L34" s="166">
        <f t="shared" ref="L34:L39" si="6">J34-F34</f>
        <v>310</v>
      </c>
    </row>
    <row r="35" spans="1:12">
      <c r="A35" s="160" t="s">
        <v>108</v>
      </c>
      <c r="B35" s="255"/>
      <c r="C35" s="246"/>
      <c r="D35" s="248"/>
      <c r="E35" s="212">
        <v>7</v>
      </c>
      <c r="F35" s="119">
        <f t="shared" ref="F35:F39" si="7">$P$1*E35</f>
        <v>70</v>
      </c>
      <c r="H35" t="s">
        <v>158</v>
      </c>
      <c r="I35" s="80">
        <f>AVERAGEIFS('Master Variety List'!E:E, 'Master Variety List'!A:A, "*Fall*", 'Master Variety List'!B:B, "*Foundation*")</f>
        <v>1.6591883116883117</v>
      </c>
      <c r="J35" s="192">
        <f t="shared" si="5"/>
        <v>220</v>
      </c>
      <c r="K35" s="80"/>
      <c r="L35" s="166">
        <f t="shared" si="6"/>
        <v>150</v>
      </c>
    </row>
    <row r="36" spans="1:12">
      <c r="A36" s="160" t="s">
        <v>104</v>
      </c>
      <c r="B36" s="255"/>
      <c r="C36" s="246"/>
      <c r="D36" s="248"/>
      <c r="E36" s="212">
        <v>1</v>
      </c>
      <c r="F36" s="119">
        <f t="shared" si="7"/>
        <v>10</v>
      </c>
      <c r="H36" t="s">
        <v>159</v>
      </c>
      <c r="I36" s="80">
        <f>AVERAGEIFS('Master Variety List'!E:E, 'Master Variety List'!A:A, "*Fall*", 'Master Variety List'!B:B, "*Filler*")</f>
        <v>1.6082894736842104</v>
      </c>
      <c r="J36" s="192">
        <f t="shared" si="5"/>
        <v>80</v>
      </c>
      <c r="K36" s="80"/>
      <c r="L36" s="166">
        <f t="shared" si="6"/>
        <v>70</v>
      </c>
    </row>
    <row r="37" spans="1:12">
      <c r="A37" s="160" t="s">
        <v>109</v>
      </c>
      <c r="B37" s="255"/>
      <c r="C37" s="246"/>
      <c r="D37" s="248"/>
      <c r="E37" s="212">
        <v>1</v>
      </c>
      <c r="F37" s="119">
        <f t="shared" si="7"/>
        <v>10</v>
      </c>
      <c r="H37" t="s">
        <v>349</v>
      </c>
      <c r="I37" s="80">
        <f>AVERAGEIFS('Master Variety List'!E:E, 'Master Variety List'!A:A, "*Fall*", 'Master Variety List'!B:B, "*Float*")</f>
        <v>1.3608333333333333</v>
      </c>
      <c r="J37" s="192">
        <f t="shared" si="5"/>
        <v>120</v>
      </c>
      <c r="K37" s="80"/>
      <c r="L37" s="166">
        <f t="shared" si="6"/>
        <v>110</v>
      </c>
    </row>
    <row r="38" spans="1:12">
      <c r="A38" s="160" t="s">
        <v>110</v>
      </c>
      <c r="B38" s="255"/>
      <c r="C38" s="246"/>
      <c r="D38" s="248"/>
      <c r="E38" s="212">
        <v>1</v>
      </c>
      <c r="F38" s="119">
        <f t="shared" si="7"/>
        <v>10</v>
      </c>
      <c r="H38" t="s">
        <v>161</v>
      </c>
      <c r="I38" s="80">
        <f>AVERAGEIFS('Master Variety List'!E:E, 'Master Variety List'!A:A, "*Fall*", 'Master Variety List'!B:B, "*Finisher*")</f>
        <v>1.7747807017543862</v>
      </c>
      <c r="J38" s="192">
        <f t="shared" si="5"/>
        <v>180</v>
      </c>
      <c r="K38" s="80"/>
      <c r="L38" s="166">
        <f t="shared" si="6"/>
        <v>170</v>
      </c>
    </row>
    <row r="39" spans="1:12">
      <c r="A39" s="160" t="s">
        <v>90</v>
      </c>
      <c r="B39" s="255"/>
      <c r="C39" s="247"/>
      <c r="D39" s="249"/>
      <c r="E39" s="167">
        <v>2</v>
      </c>
      <c r="F39" s="168">
        <f t="shared" si="7"/>
        <v>20</v>
      </c>
      <c r="G39" s="169"/>
      <c r="H39" s="169" t="s">
        <v>162</v>
      </c>
      <c r="I39" s="170">
        <f>AVERAGEIFS('Master Variety List'!E:E, 'Master Variety List'!A:A, "*Fall*", 'Master Variety List'!B:B, "*Foliage*")</f>
        <v>1.4392307692307693</v>
      </c>
      <c r="J39" s="192">
        <f t="shared" si="5"/>
        <v>230</v>
      </c>
      <c r="K39" s="170"/>
      <c r="L39" s="171">
        <f t="shared" si="6"/>
        <v>210</v>
      </c>
    </row>
    <row r="40" spans="1:12">
      <c r="A40" s="160" t="s">
        <v>101</v>
      </c>
    </row>
    <row r="41" spans="1:12">
      <c r="A41" s="159" t="s">
        <v>49</v>
      </c>
    </row>
    <row r="42" spans="1:12" ht="86" thickBot="1">
      <c r="A42" s="160" t="s">
        <v>125</v>
      </c>
      <c r="B42" s="254" t="s">
        <v>515</v>
      </c>
      <c r="C42" s="202"/>
      <c r="D42" s="173"/>
      <c r="E42" s="174" t="s">
        <v>152</v>
      </c>
      <c r="F42" s="174" t="s">
        <v>153</v>
      </c>
      <c r="G42" s="175"/>
      <c r="H42" s="175"/>
      <c r="I42" s="176" t="s">
        <v>514</v>
      </c>
      <c r="J42" s="176" t="s">
        <v>155</v>
      </c>
      <c r="K42" s="177"/>
      <c r="L42" s="178" t="s">
        <v>156</v>
      </c>
    </row>
    <row r="43" spans="1:12" ht="17" thickTop="1">
      <c r="A43" s="160" t="s">
        <v>120</v>
      </c>
      <c r="B43" s="255"/>
      <c r="C43" s="246" t="s">
        <v>511</v>
      </c>
      <c r="D43" s="248">
        <f>SUMPRODUCT(E43:E48, I43:I48)</f>
        <v>23.506125506072873</v>
      </c>
      <c r="E43" s="212">
        <v>7</v>
      </c>
      <c r="F43" s="119">
        <f t="shared" ref="F43:F48" si="8">$J$1*E43</f>
        <v>350</v>
      </c>
      <c r="H43" t="s">
        <v>157</v>
      </c>
      <c r="I43" s="80">
        <f>AVERAGEIFS('Master Variety List'!E:E, 'Master Variety List'!A:A, "*Fall*", 'Master Variety List'!B:B, "*Focal*")</f>
        <v>2.6453333333333333</v>
      </c>
      <c r="J43" s="192">
        <f t="shared" ref="J43:J48" si="9">L34</f>
        <v>310</v>
      </c>
      <c r="K43" s="80"/>
      <c r="L43" s="166">
        <f t="shared" ref="L43:L48" si="10">J43-F43</f>
        <v>-40</v>
      </c>
    </row>
    <row r="44" spans="1:12">
      <c r="A44" s="160" t="s">
        <v>107</v>
      </c>
      <c r="B44" s="255"/>
      <c r="C44" s="246"/>
      <c r="D44" s="248"/>
      <c r="E44" s="212">
        <v>0</v>
      </c>
      <c r="F44" s="119">
        <f t="shared" si="8"/>
        <v>0</v>
      </c>
      <c r="H44" t="s">
        <v>158</v>
      </c>
      <c r="I44" s="80">
        <f>AVERAGEIFS('Master Variety List'!E:E, 'Master Variety List'!A:A, "*Fall*", 'Master Variety List'!B:B, "*Foundation*")</f>
        <v>1.6591883116883117</v>
      </c>
      <c r="J44" s="192">
        <f t="shared" si="9"/>
        <v>150</v>
      </c>
      <c r="K44" s="80"/>
      <c r="L44" s="166">
        <f t="shared" si="10"/>
        <v>150</v>
      </c>
    </row>
    <row r="45" spans="1:12">
      <c r="A45" s="160" t="s">
        <v>127</v>
      </c>
      <c r="B45" s="255"/>
      <c r="C45" s="246"/>
      <c r="D45" s="248"/>
      <c r="E45" s="212">
        <v>0</v>
      </c>
      <c r="F45" s="119">
        <f t="shared" si="8"/>
        <v>0</v>
      </c>
      <c r="H45" t="s">
        <v>159</v>
      </c>
      <c r="I45" s="80">
        <f>AVERAGEIFS('Master Variety List'!E:E, 'Master Variety List'!A:A, "*Fall*", 'Master Variety List'!B:B, "*Filler*")</f>
        <v>1.6082894736842104</v>
      </c>
      <c r="J45" s="192">
        <f t="shared" si="9"/>
        <v>70</v>
      </c>
      <c r="K45" s="80"/>
      <c r="L45" s="166">
        <f t="shared" si="10"/>
        <v>70</v>
      </c>
    </row>
    <row r="46" spans="1:12">
      <c r="A46" s="160" t="s">
        <v>129</v>
      </c>
      <c r="B46" s="255"/>
      <c r="C46" s="246"/>
      <c r="D46" s="248"/>
      <c r="E46" s="212">
        <v>0</v>
      </c>
      <c r="F46" s="119">
        <f t="shared" si="8"/>
        <v>0</v>
      </c>
      <c r="H46" t="s">
        <v>349</v>
      </c>
      <c r="I46" s="80">
        <f>AVERAGEIFS('Master Variety List'!E:E, 'Master Variety List'!A:A, "*Fall*", 'Master Variety List'!B:B, "*Float*")</f>
        <v>1.3608333333333333</v>
      </c>
      <c r="J46" s="192">
        <f t="shared" si="9"/>
        <v>110</v>
      </c>
      <c r="K46" s="80"/>
      <c r="L46" s="166">
        <f t="shared" si="10"/>
        <v>110</v>
      </c>
    </row>
    <row r="47" spans="1:12">
      <c r="A47" s="160" t="s">
        <v>115</v>
      </c>
      <c r="B47" s="255"/>
      <c r="C47" s="246"/>
      <c r="D47" s="248"/>
      <c r="E47" s="212">
        <v>2</v>
      </c>
      <c r="F47" s="119">
        <f t="shared" si="8"/>
        <v>100</v>
      </c>
      <c r="H47" t="s">
        <v>161</v>
      </c>
      <c r="I47" s="80">
        <f>AVERAGEIFS('Master Variety List'!E:E, 'Master Variety List'!A:A, "*Fall*", 'Master Variety List'!B:B, "*Finisher*")</f>
        <v>1.7747807017543862</v>
      </c>
      <c r="J47" s="192">
        <f t="shared" si="9"/>
        <v>170</v>
      </c>
      <c r="K47" s="80"/>
      <c r="L47" s="166">
        <f t="shared" si="10"/>
        <v>70</v>
      </c>
    </row>
    <row r="48" spans="1:12">
      <c r="A48" s="160" t="s">
        <v>117</v>
      </c>
      <c r="B48" s="255"/>
      <c r="C48" s="247"/>
      <c r="D48" s="249"/>
      <c r="E48" s="167">
        <v>1</v>
      </c>
      <c r="F48" s="168">
        <f t="shared" si="8"/>
        <v>50</v>
      </c>
      <c r="G48" s="169"/>
      <c r="H48" s="169" t="s">
        <v>162</v>
      </c>
      <c r="I48" s="170">
        <f>AVERAGEIFS('Master Variety List'!E:E, 'Master Variety List'!A:A, "*Fall*", 'Master Variety List'!B:B, "*Foliage*")</f>
        <v>1.4392307692307693</v>
      </c>
      <c r="J48" s="192">
        <f t="shared" si="9"/>
        <v>210</v>
      </c>
      <c r="K48" s="170"/>
      <c r="L48" s="171">
        <f t="shared" si="10"/>
        <v>160</v>
      </c>
    </row>
    <row r="49" spans="1:39">
      <c r="A49" s="160" t="s">
        <v>121</v>
      </c>
    </row>
    <row r="50" spans="1:39">
      <c r="A50" s="160" t="s">
        <v>119</v>
      </c>
    </row>
    <row r="51" spans="1:39">
      <c r="A51" s="160" t="s">
        <v>50</v>
      </c>
      <c r="D51" s="119"/>
      <c r="F51" t="s">
        <v>169</v>
      </c>
      <c r="J51" s="119" t="s">
        <v>170</v>
      </c>
      <c r="K51" s="119"/>
      <c r="L51" s="119"/>
      <c r="M51" s="119"/>
      <c r="N51" s="119"/>
      <c r="O51" s="119"/>
      <c r="P51" s="119"/>
      <c r="Q51" s="119"/>
      <c r="U51" s="119" t="s">
        <v>171</v>
      </c>
      <c r="V51" s="119"/>
      <c r="Z51" s="119" t="s">
        <v>172</v>
      </c>
      <c r="AA51" s="119"/>
      <c r="AB51" s="119"/>
      <c r="AC51" s="119"/>
      <c r="AD51" s="119"/>
      <c r="AE51" s="119"/>
      <c r="AF51" s="119" t="s">
        <v>173</v>
      </c>
      <c r="AH51" s="119"/>
      <c r="AI51" s="119"/>
      <c r="AJ51" s="119"/>
      <c r="AK51" s="119"/>
      <c r="AL51" s="119" t="s">
        <v>174</v>
      </c>
      <c r="AM51" s="119"/>
    </row>
    <row r="52" spans="1:39" ht="37" thickBot="1">
      <c r="A52" s="160" t="s">
        <v>126</v>
      </c>
      <c r="B52" s="209" t="s">
        <v>175</v>
      </c>
      <c r="C52" s="209" t="s">
        <v>516</v>
      </c>
      <c r="D52" s="119"/>
      <c r="F52" s="87" t="s">
        <v>120</v>
      </c>
      <c r="G52" s="87" t="s">
        <v>360</v>
      </c>
      <c r="H52" s="87" t="s">
        <v>54</v>
      </c>
      <c r="I52" s="87" t="s">
        <v>361</v>
      </c>
      <c r="J52" s="87" t="s">
        <v>89</v>
      </c>
      <c r="K52" s="87" t="s">
        <v>362</v>
      </c>
      <c r="L52" s="87" t="s">
        <v>363</v>
      </c>
      <c r="M52" s="87" t="s">
        <v>85</v>
      </c>
      <c r="N52" s="87" t="s">
        <v>86</v>
      </c>
      <c r="O52" s="87" t="s">
        <v>77</v>
      </c>
      <c r="P52" s="87" t="s">
        <v>311</v>
      </c>
      <c r="Q52" s="87" t="s">
        <v>88</v>
      </c>
      <c r="R52" s="87" t="s">
        <v>517</v>
      </c>
      <c r="S52" s="87" t="s">
        <v>98</v>
      </c>
      <c r="T52" s="119" t="s">
        <v>365</v>
      </c>
      <c r="U52" s="87" t="s">
        <v>97</v>
      </c>
      <c r="V52" s="87" t="s">
        <v>518</v>
      </c>
      <c r="W52" s="87" t="s">
        <v>105</v>
      </c>
      <c r="X52" s="87" t="s">
        <v>106</v>
      </c>
      <c r="Y52" s="87" t="s">
        <v>108</v>
      </c>
      <c r="Z52" s="87" t="s">
        <v>314</v>
      </c>
      <c r="AA52" s="87" t="s">
        <v>103</v>
      </c>
      <c r="AB52" s="87" t="s">
        <v>110</v>
      </c>
      <c r="AC52" s="87" t="s">
        <v>125</v>
      </c>
      <c r="AD52" s="87" t="s">
        <v>117</v>
      </c>
      <c r="AE52" s="87" t="s">
        <v>107</v>
      </c>
      <c r="AF52" s="87" t="s">
        <v>366</v>
      </c>
      <c r="AG52" s="87" t="s">
        <v>367</v>
      </c>
      <c r="AH52" s="87" t="s">
        <v>137</v>
      </c>
      <c r="AI52" s="87" t="s">
        <v>138</v>
      </c>
      <c r="AJ52" s="87" t="s">
        <v>132</v>
      </c>
      <c r="AK52" s="87" t="s">
        <v>133</v>
      </c>
      <c r="AL52" s="87" t="s">
        <v>136</v>
      </c>
    </row>
    <row r="53" spans="1:39" ht="21" thickTop="1" thickBot="1">
      <c r="A53" s="160" t="s">
        <v>130</v>
      </c>
      <c r="B53" s="209"/>
      <c r="C53" s="209"/>
      <c r="D53" s="244" t="s">
        <v>519</v>
      </c>
      <c r="E53" s="245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Z53" s="74"/>
      <c r="AA53" s="74"/>
      <c r="AB53" s="74"/>
      <c r="AC53" s="74"/>
      <c r="AD53" s="74"/>
      <c r="AE53" s="74"/>
      <c r="AF53" s="74"/>
      <c r="AG53" s="74"/>
      <c r="AH53" s="74"/>
      <c r="AK53" s="160"/>
    </row>
    <row r="54" spans="1:39" ht="87" thickTop="1" thickBot="1">
      <c r="A54" s="159" t="s">
        <v>51</v>
      </c>
      <c r="D54" s="195" t="s">
        <v>520</v>
      </c>
      <c r="E54" s="194" t="s">
        <v>216</v>
      </c>
      <c r="F54" s="74" t="s">
        <v>332</v>
      </c>
      <c r="G54" s="74" t="s">
        <v>332</v>
      </c>
      <c r="H54" s="74" t="s">
        <v>521</v>
      </c>
      <c r="I54" s="74" t="s">
        <v>371</v>
      </c>
      <c r="J54" s="74" t="s">
        <v>332</v>
      </c>
      <c r="K54" s="74" t="s">
        <v>372</v>
      </c>
      <c r="L54" s="74" t="s">
        <v>373</v>
      </c>
      <c r="M54" s="74" t="s">
        <v>332</v>
      </c>
      <c r="N54" s="74" t="s">
        <v>374</v>
      </c>
      <c r="O54" s="74" t="s">
        <v>193</v>
      </c>
      <c r="P54" s="74" t="s">
        <v>265</v>
      </c>
      <c r="Q54" s="74" t="s">
        <v>265</v>
      </c>
      <c r="R54" s="74" t="s">
        <v>332</v>
      </c>
      <c r="S54" s="74" t="s">
        <v>332</v>
      </c>
      <c r="T54" s="74" t="s">
        <v>375</v>
      </c>
      <c r="U54" s="74" t="s">
        <v>376</v>
      </c>
      <c r="V54" s="74" t="s">
        <v>430</v>
      </c>
      <c r="W54" s="74" t="s">
        <v>332</v>
      </c>
      <c r="X54" s="74" t="s">
        <v>378</v>
      </c>
      <c r="Y54" s="74" t="s">
        <v>379</v>
      </c>
      <c r="Z54" s="74" t="s">
        <v>380</v>
      </c>
      <c r="AA54" s="74" t="s">
        <v>342</v>
      </c>
      <c r="AB54" s="74" t="s">
        <v>332</v>
      </c>
      <c r="AC54" s="74" t="s">
        <v>332</v>
      </c>
      <c r="AD54" s="74" t="s">
        <v>342</v>
      </c>
      <c r="AE54" s="74" t="s">
        <v>332</v>
      </c>
      <c r="AF54" s="74" t="s">
        <v>342</v>
      </c>
      <c r="AG54" s="74" t="s">
        <v>332</v>
      </c>
      <c r="AH54" s="74" t="s">
        <v>342</v>
      </c>
      <c r="AI54" s="74" t="s">
        <v>342</v>
      </c>
      <c r="AJ54" s="74" t="s">
        <v>342</v>
      </c>
      <c r="AK54" s="74" t="s">
        <v>342</v>
      </c>
      <c r="AL54" s="74" t="s">
        <v>342</v>
      </c>
    </row>
    <row r="55" spans="1:39" ht="52" thickBot="1">
      <c r="A55" s="160" t="s">
        <v>136</v>
      </c>
      <c r="D55" s="195" t="s">
        <v>381</v>
      </c>
      <c r="E55" s="194" t="s">
        <v>319</v>
      </c>
      <c r="F55" s="74" t="s">
        <v>193</v>
      </c>
      <c r="G55" s="74" t="s">
        <v>382</v>
      </c>
      <c r="H55" s="74" t="s">
        <v>383</v>
      </c>
      <c r="I55" s="74" t="s">
        <v>384</v>
      </c>
      <c r="J55" s="74" t="s">
        <v>385</v>
      </c>
      <c r="K55" s="74" t="s">
        <v>522</v>
      </c>
      <c r="L55" s="74" t="s">
        <v>332</v>
      </c>
      <c r="M55" s="74" t="s">
        <v>387</v>
      </c>
      <c r="N55" s="74" t="s">
        <v>388</v>
      </c>
      <c r="O55" s="74" t="s">
        <v>389</v>
      </c>
      <c r="P55" s="74" t="s">
        <v>193</v>
      </c>
      <c r="Q55" s="74" t="s">
        <v>332</v>
      </c>
      <c r="R55" s="74" t="s">
        <v>342</v>
      </c>
      <c r="S55" s="74" t="s">
        <v>391</v>
      </c>
      <c r="T55" s="74" t="s">
        <v>392</v>
      </c>
      <c r="U55" s="74" t="s">
        <v>332</v>
      </c>
      <c r="V55" s="74" t="s">
        <v>332</v>
      </c>
      <c r="W55" s="74" t="s">
        <v>332</v>
      </c>
      <c r="X55" s="74" t="s">
        <v>193</v>
      </c>
      <c r="Y55" s="74" t="s">
        <v>332</v>
      </c>
      <c r="Z55" s="74" t="s">
        <v>393</v>
      </c>
      <c r="AA55" s="74" t="s">
        <v>332</v>
      </c>
      <c r="AB55" s="74" t="s">
        <v>391</v>
      </c>
      <c r="AC55" s="74" t="s">
        <v>391</v>
      </c>
      <c r="AD55" s="74" t="s">
        <v>342</v>
      </c>
      <c r="AE55" s="74" t="s">
        <v>342</v>
      </c>
      <c r="AF55" s="74" t="s">
        <v>342</v>
      </c>
      <c r="AG55" s="74" t="s">
        <v>332</v>
      </c>
      <c r="AH55" s="74" t="s">
        <v>342</v>
      </c>
      <c r="AI55" s="74" t="s">
        <v>342</v>
      </c>
      <c r="AJ55" s="74" t="s">
        <v>342</v>
      </c>
      <c r="AK55" s="74" t="s">
        <v>342</v>
      </c>
      <c r="AL55" s="69" t="s">
        <v>332</v>
      </c>
    </row>
    <row r="56" spans="1:39" ht="103" thickBot="1">
      <c r="A56" s="160" t="s">
        <v>138</v>
      </c>
      <c r="D56" s="195" t="s">
        <v>223</v>
      </c>
      <c r="E56" s="194" t="s">
        <v>394</v>
      </c>
      <c r="F56" s="74" t="s">
        <v>332</v>
      </c>
      <c r="G56" s="74" t="s">
        <v>395</v>
      </c>
      <c r="H56" s="74" t="s">
        <v>396</v>
      </c>
      <c r="I56" s="74" t="s">
        <v>397</v>
      </c>
      <c r="J56" s="74" t="s">
        <v>395</v>
      </c>
      <c r="K56" s="74" t="s">
        <v>523</v>
      </c>
      <c r="L56" s="74" t="s">
        <v>399</v>
      </c>
      <c r="M56" s="74" t="s">
        <v>400</v>
      </c>
      <c r="N56" s="74" t="s">
        <v>401</v>
      </c>
      <c r="O56" s="74" t="s">
        <v>332</v>
      </c>
      <c r="P56" s="74" t="s">
        <v>402</v>
      </c>
      <c r="Q56" s="74" t="s">
        <v>403</v>
      </c>
      <c r="R56" s="74" t="s">
        <v>332</v>
      </c>
      <c r="S56" s="74" t="s">
        <v>391</v>
      </c>
      <c r="T56" s="74" t="s">
        <v>392</v>
      </c>
      <c r="U56" s="74" t="s">
        <v>332</v>
      </c>
      <c r="V56" s="74" t="s">
        <v>332</v>
      </c>
      <c r="W56" s="74" t="s">
        <v>332</v>
      </c>
      <c r="X56" s="74" t="s">
        <v>193</v>
      </c>
      <c r="Y56" s="74" t="s">
        <v>332</v>
      </c>
      <c r="Z56" s="74" t="s">
        <v>404</v>
      </c>
      <c r="AA56" s="74" t="s">
        <v>332</v>
      </c>
      <c r="AB56" s="74" t="s">
        <v>405</v>
      </c>
      <c r="AC56" s="74" t="s">
        <v>391</v>
      </c>
      <c r="AD56" s="74" t="s">
        <v>342</v>
      </c>
      <c r="AE56" s="74" t="s">
        <v>332</v>
      </c>
      <c r="AF56" s="74" t="s">
        <v>342</v>
      </c>
      <c r="AG56" s="74" t="s">
        <v>342</v>
      </c>
      <c r="AH56" s="74" t="s">
        <v>342</v>
      </c>
      <c r="AI56" s="74" t="s">
        <v>342</v>
      </c>
      <c r="AJ56" s="74" t="s">
        <v>342</v>
      </c>
      <c r="AK56" s="74" t="s">
        <v>342</v>
      </c>
      <c r="AL56" s="74" t="s">
        <v>342</v>
      </c>
    </row>
    <row r="57" spans="1:39" ht="52" thickBot="1">
      <c r="A57" s="160" t="s">
        <v>137</v>
      </c>
      <c r="D57" s="195" t="s">
        <v>228</v>
      </c>
      <c r="E57" s="194" t="s">
        <v>407</v>
      </c>
      <c r="F57" s="74" t="s">
        <v>408</v>
      </c>
      <c r="G57" s="74"/>
      <c r="H57" s="74" t="s">
        <v>524</v>
      </c>
      <c r="I57" s="74" t="s">
        <v>410</v>
      </c>
      <c r="K57" s="74" t="s">
        <v>525</v>
      </c>
      <c r="L57" s="74" t="s">
        <v>412</v>
      </c>
      <c r="M57" s="74" t="s">
        <v>413</v>
      </c>
      <c r="N57" s="74" t="s">
        <v>414</v>
      </c>
      <c r="O57" s="74" t="s">
        <v>332</v>
      </c>
      <c r="P57" s="74" t="s">
        <v>416</v>
      </c>
      <c r="Q57" s="74" t="s">
        <v>417</v>
      </c>
      <c r="R57" s="74" t="s">
        <v>332</v>
      </c>
      <c r="S57" s="74" t="s">
        <v>332</v>
      </c>
      <c r="T57" s="74" t="s">
        <v>418</v>
      </c>
      <c r="U57" s="74" t="s">
        <v>419</v>
      </c>
      <c r="V57" s="74" t="s">
        <v>332</v>
      </c>
      <c r="W57" s="74" t="s">
        <v>342</v>
      </c>
      <c r="X57" s="74" t="s">
        <v>332</v>
      </c>
      <c r="Y57" s="74" t="s">
        <v>332</v>
      </c>
      <c r="Z57" s="74" t="s">
        <v>287</v>
      </c>
      <c r="AA57" s="74" t="s">
        <v>332</v>
      </c>
      <c r="AB57" s="74" t="s">
        <v>420</v>
      </c>
      <c r="AC57" s="74" t="s">
        <v>332</v>
      </c>
      <c r="AD57" s="74" t="s">
        <v>342</v>
      </c>
      <c r="AE57" s="74" t="s">
        <v>332</v>
      </c>
      <c r="AF57" s="74" t="s">
        <v>342</v>
      </c>
      <c r="AG57" s="74" t="s">
        <v>342</v>
      </c>
      <c r="AH57" s="74" t="s">
        <v>342</v>
      </c>
      <c r="AI57" s="74" t="s">
        <v>342</v>
      </c>
      <c r="AJ57" s="74" t="s">
        <v>342</v>
      </c>
      <c r="AK57" s="74" t="s">
        <v>342</v>
      </c>
      <c r="AL57" s="74" t="s">
        <v>342</v>
      </c>
    </row>
    <row r="58" spans="1:39" ht="52" thickBot="1">
      <c r="A58" s="160" t="s">
        <v>132</v>
      </c>
      <c r="B58" s="74" t="s">
        <v>422</v>
      </c>
      <c r="D58" s="195" t="s">
        <v>526</v>
      </c>
      <c r="E58" s="194" t="s">
        <v>424</v>
      </c>
      <c r="F58" s="74" t="s">
        <v>332</v>
      </c>
      <c r="G58" s="74" t="s">
        <v>332</v>
      </c>
      <c r="H58" s="74" t="s">
        <v>425</v>
      </c>
      <c r="I58" s="74" t="s">
        <v>426</v>
      </c>
      <c r="J58" s="74" t="s">
        <v>332</v>
      </c>
      <c r="K58" s="74" t="s">
        <v>427</v>
      </c>
      <c r="L58" s="74" t="s">
        <v>332</v>
      </c>
      <c r="M58" s="74" t="s">
        <v>332</v>
      </c>
      <c r="N58" s="74" t="s">
        <v>428</v>
      </c>
      <c r="O58" s="74" t="s">
        <v>332</v>
      </c>
      <c r="P58" s="74" t="s">
        <v>332</v>
      </c>
      <c r="Q58" s="74" t="s">
        <v>332</v>
      </c>
      <c r="R58" s="74" t="s">
        <v>429</v>
      </c>
      <c r="S58" s="74" t="s">
        <v>430</v>
      </c>
      <c r="T58" s="74" t="s">
        <v>431</v>
      </c>
      <c r="U58" s="74" t="s">
        <v>332</v>
      </c>
      <c r="V58" s="74" t="s">
        <v>332</v>
      </c>
      <c r="W58" s="74" t="s">
        <v>332</v>
      </c>
      <c r="X58" s="74" t="s">
        <v>430</v>
      </c>
      <c r="Y58" s="74" t="s">
        <v>308</v>
      </c>
      <c r="Z58" s="74" t="s">
        <v>430</v>
      </c>
      <c r="AA58" s="74" t="s">
        <v>332</v>
      </c>
      <c r="AB58" s="74" t="s">
        <v>378</v>
      </c>
      <c r="AC58" s="74" t="s">
        <v>332</v>
      </c>
      <c r="AD58" s="74" t="s">
        <v>430</v>
      </c>
      <c r="AE58" s="74" t="s">
        <v>332</v>
      </c>
      <c r="AF58" s="74" t="s">
        <v>332</v>
      </c>
      <c r="AG58" s="74" t="s">
        <v>432</v>
      </c>
      <c r="AH58" s="74" t="s">
        <v>342</v>
      </c>
      <c r="AI58" s="74" t="s">
        <v>332</v>
      </c>
      <c r="AJ58" s="74" t="s">
        <v>342</v>
      </c>
      <c r="AK58" s="74" t="s">
        <v>342</v>
      </c>
      <c r="AL58" s="74" t="s">
        <v>342</v>
      </c>
      <c r="AM58" s="74" t="s">
        <v>342</v>
      </c>
    </row>
    <row r="59" spans="1:39" ht="21" thickTop="1" thickBot="1">
      <c r="A59" s="160" t="s">
        <v>139</v>
      </c>
      <c r="D59" s="244" t="s">
        <v>527</v>
      </c>
      <c r="E59" s="245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69"/>
      <c r="AJ59" s="69"/>
      <c r="AK59" s="69"/>
      <c r="AL59" s="69"/>
    </row>
    <row r="60" spans="1:39" ht="70" thickTop="1" thickBot="1">
      <c r="A60" s="160" t="s">
        <v>133</v>
      </c>
      <c r="D60" s="195" t="s">
        <v>245</v>
      </c>
      <c r="E60" s="194" t="s">
        <v>434</v>
      </c>
      <c r="F60" s="74" t="s">
        <v>193</v>
      </c>
      <c r="G60" s="74" t="s">
        <v>435</v>
      </c>
      <c r="H60" s="74" t="s">
        <v>436</v>
      </c>
      <c r="I60" s="74" t="s">
        <v>437</v>
      </c>
      <c r="J60" s="74" t="s">
        <v>435</v>
      </c>
      <c r="K60" s="74" t="s">
        <v>438</v>
      </c>
      <c r="L60" s="74" t="s">
        <v>439</v>
      </c>
      <c r="M60" s="74" t="s">
        <v>440</v>
      </c>
      <c r="N60" s="74" t="s">
        <v>441</v>
      </c>
      <c r="O60" s="74" t="s">
        <v>389</v>
      </c>
      <c r="P60" s="74" t="s">
        <v>270</v>
      </c>
      <c r="Q60" s="74" t="s">
        <v>442</v>
      </c>
      <c r="R60" s="74" t="s">
        <v>342</v>
      </c>
      <c r="S60" s="74" t="s">
        <v>443</v>
      </c>
      <c r="T60" s="74" t="s">
        <v>392</v>
      </c>
      <c r="U60" s="74" t="s">
        <v>332</v>
      </c>
      <c r="V60" s="74" t="s">
        <v>332</v>
      </c>
      <c r="W60" s="74" t="s">
        <v>332</v>
      </c>
      <c r="X60" s="74" t="s">
        <v>193</v>
      </c>
      <c r="Y60" s="74" t="s">
        <v>444</v>
      </c>
      <c r="Z60" s="74" t="s">
        <v>445</v>
      </c>
      <c r="AA60" s="74" t="s">
        <v>332</v>
      </c>
      <c r="AB60" s="74" t="s">
        <v>438</v>
      </c>
      <c r="AC60" s="74" t="s">
        <v>332</v>
      </c>
      <c r="AD60" s="74" t="s">
        <v>342</v>
      </c>
      <c r="AE60" s="74" t="s">
        <v>342</v>
      </c>
      <c r="AF60" s="74" t="s">
        <v>342</v>
      </c>
      <c r="AG60" s="74" t="s">
        <v>332</v>
      </c>
      <c r="AH60" s="74" t="s">
        <v>342</v>
      </c>
      <c r="AI60" s="74" t="s">
        <v>342</v>
      </c>
      <c r="AJ60" s="74" t="s">
        <v>342</v>
      </c>
      <c r="AK60" s="74" t="s">
        <v>342</v>
      </c>
      <c r="AL60" s="74" t="s">
        <v>332</v>
      </c>
    </row>
    <row r="61" spans="1:39" ht="69" thickBot="1">
      <c r="A61" s="160" t="s">
        <v>134</v>
      </c>
      <c r="D61" s="195" t="s">
        <v>284</v>
      </c>
      <c r="E61" s="194" t="s">
        <v>446</v>
      </c>
      <c r="F61" s="74" t="s">
        <v>287</v>
      </c>
      <c r="G61" s="74" t="s">
        <v>332</v>
      </c>
      <c r="H61" s="74" t="s">
        <v>528</v>
      </c>
      <c r="I61" s="74" t="s">
        <v>448</v>
      </c>
      <c r="J61" s="74" t="s">
        <v>332</v>
      </c>
      <c r="K61" s="74" t="s">
        <v>456</v>
      </c>
      <c r="L61" s="74" t="s">
        <v>450</v>
      </c>
      <c r="M61" s="74" t="s">
        <v>413</v>
      </c>
      <c r="N61" s="74" t="s">
        <v>451</v>
      </c>
      <c r="O61" s="74" t="s">
        <v>332</v>
      </c>
      <c r="P61" s="74" t="s">
        <v>452</v>
      </c>
      <c r="Q61" s="74" t="s">
        <v>453</v>
      </c>
      <c r="R61" s="74" t="s">
        <v>332</v>
      </c>
      <c r="S61" s="74" t="s">
        <v>430</v>
      </c>
      <c r="T61" s="74" t="s">
        <v>287</v>
      </c>
      <c r="U61" s="74" t="s">
        <v>287</v>
      </c>
      <c r="V61" s="74" t="s">
        <v>332</v>
      </c>
      <c r="W61" s="74" t="s">
        <v>342</v>
      </c>
      <c r="X61" s="74" t="s">
        <v>332</v>
      </c>
      <c r="Y61" s="74" t="s">
        <v>332</v>
      </c>
      <c r="Z61" s="74" t="s">
        <v>455</v>
      </c>
      <c r="AA61" s="74" t="s">
        <v>332</v>
      </c>
      <c r="AB61" s="74" t="s">
        <v>456</v>
      </c>
      <c r="AC61" s="74" t="s">
        <v>332</v>
      </c>
      <c r="AD61" s="74" t="s">
        <v>342</v>
      </c>
      <c r="AE61" s="74" t="s">
        <v>332</v>
      </c>
      <c r="AF61" s="74" t="s">
        <v>342</v>
      </c>
      <c r="AG61" s="74" t="s">
        <v>332</v>
      </c>
      <c r="AH61" s="74" t="s">
        <v>342</v>
      </c>
      <c r="AI61" s="74" t="s">
        <v>342</v>
      </c>
      <c r="AJ61" s="74" t="s">
        <v>342</v>
      </c>
      <c r="AK61" s="74" t="s">
        <v>342</v>
      </c>
      <c r="AL61" s="74" t="s">
        <v>332</v>
      </c>
    </row>
    <row r="62" spans="1:39" ht="52" thickBot="1">
      <c r="A62" s="160" t="s">
        <v>140</v>
      </c>
      <c r="C62" s="74" t="s">
        <v>325</v>
      </c>
      <c r="D62" s="195" t="s">
        <v>260</v>
      </c>
      <c r="E62" s="194" t="s">
        <v>326</v>
      </c>
      <c r="F62" s="74" t="s">
        <v>332</v>
      </c>
      <c r="G62" s="74" t="s">
        <v>332</v>
      </c>
      <c r="H62" s="74" t="s">
        <v>459</v>
      </c>
      <c r="I62" s="74" t="s">
        <v>458</v>
      </c>
      <c r="J62" s="74" t="s">
        <v>332</v>
      </c>
      <c r="K62" s="74" t="s">
        <v>460</v>
      </c>
      <c r="L62" s="74" t="s">
        <v>460</v>
      </c>
      <c r="M62" s="74" t="s">
        <v>203</v>
      </c>
      <c r="N62" s="74" t="s">
        <v>259</v>
      </c>
      <c r="O62" s="74" t="s">
        <v>332</v>
      </c>
      <c r="P62" s="74" t="s">
        <v>462</v>
      </c>
      <c r="Q62" s="74" t="s">
        <v>430</v>
      </c>
      <c r="R62" s="74" t="s">
        <v>332</v>
      </c>
      <c r="S62" s="74" t="s">
        <v>463</v>
      </c>
      <c r="T62" s="74" t="s">
        <v>430</v>
      </c>
      <c r="U62" s="74" t="s">
        <v>308</v>
      </c>
      <c r="V62" s="74" t="s">
        <v>342</v>
      </c>
      <c r="W62" s="74" t="s">
        <v>332</v>
      </c>
      <c r="X62" s="74" t="s">
        <v>332</v>
      </c>
      <c r="Y62" s="74" t="s">
        <v>279</v>
      </c>
      <c r="Z62" s="74" t="s">
        <v>282</v>
      </c>
      <c r="AA62" s="74" t="s">
        <v>332</v>
      </c>
      <c r="AB62" s="74" t="s">
        <v>464</v>
      </c>
      <c r="AC62" s="74" t="s">
        <v>332</v>
      </c>
      <c r="AD62" s="74" t="s">
        <v>342</v>
      </c>
      <c r="AE62" s="74" t="s">
        <v>332</v>
      </c>
      <c r="AF62" s="74" t="s">
        <v>342</v>
      </c>
      <c r="AG62" s="74" t="s">
        <v>332</v>
      </c>
      <c r="AH62" s="74" t="s">
        <v>342</v>
      </c>
      <c r="AI62" s="74" t="s">
        <v>342</v>
      </c>
      <c r="AJ62" s="74" t="s">
        <v>342</v>
      </c>
      <c r="AK62" s="74" t="s">
        <v>342</v>
      </c>
      <c r="AL62" s="74" t="s">
        <v>332</v>
      </c>
    </row>
    <row r="63" spans="1:39" ht="137" thickBot="1">
      <c r="A63" s="160" t="s">
        <v>141</v>
      </c>
      <c r="C63" s="74" t="s">
        <v>325</v>
      </c>
      <c r="D63" s="195" t="s">
        <v>292</v>
      </c>
      <c r="E63" s="194" t="s">
        <v>467</v>
      </c>
      <c r="F63" s="74" t="s">
        <v>332</v>
      </c>
      <c r="G63" s="74" t="s">
        <v>332</v>
      </c>
      <c r="H63" s="74" t="s">
        <v>468</v>
      </c>
      <c r="I63" s="74" t="s">
        <v>469</v>
      </c>
      <c r="J63" s="74" t="s">
        <v>332</v>
      </c>
      <c r="K63" s="74" t="s">
        <v>470</v>
      </c>
      <c r="L63" s="74" t="s">
        <v>471</v>
      </c>
      <c r="M63" s="74" t="s">
        <v>332</v>
      </c>
      <c r="N63" s="74" t="s">
        <v>472</v>
      </c>
      <c r="O63" s="74" t="s">
        <v>332</v>
      </c>
      <c r="P63" s="74" t="s">
        <v>473</v>
      </c>
      <c r="Q63" s="74" t="s">
        <v>474</v>
      </c>
      <c r="R63" s="74" t="s">
        <v>332</v>
      </c>
      <c r="S63" s="74" t="s">
        <v>475</v>
      </c>
      <c r="T63" s="74" t="s">
        <v>332</v>
      </c>
      <c r="U63" s="74" t="s">
        <v>212</v>
      </c>
      <c r="V63" s="74" t="s">
        <v>342</v>
      </c>
      <c r="W63" s="74" t="s">
        <v>332</v>
      </c>
      <c r="X63" s="74" t="s">
        <v>476</v>
      </c>
      <c r="Y63" s="74" t="s">
        <v>477</v>
      </c>
      <c r="Z63" s="74" t="s">
        <v>332</v>
      </c>
      <c r="AA63" s="74" t="s">
        <v>342</v>
      </c>
      <c r="AB63" s="74" t="s">
        <v>332</v>
      </c>
      <c r="AC63" s="74" t="s">
        <v>432</v>
      </c>
      <c r="AD63" s="74" t="s">
        <v>342</v>
      </c>
      <c r="AE63" s="74" t="s">
        <v>332</v>
      </c>
      <c r="AF63" s="74" t="s">
        <v>342</v>
      </c>
      <c r="AG63" s="74" t="s">
        <v>342</v>
      </c>
      <c r="AH63" s="74" t="s">
        <v>342</v>
      </c>
      <c r="AI63" s="74" t="s">
        <v>342</v>
      </c>
      <c r="AJ63" s="74" t="s">
        <v>342</v>
      </c>
      <c r="AK63" s="74" t="s">
        <v>342</v>
      </c>
      <c r="AL63" s="74" t="s">
        <v>342</v>
      </c>
    </row>
    <row r="64" spans="1:39" ht="86" thickBot="1">
      <c r="A64" s="160" t="s">
        <v>131</v>
      </c>
      <c r="C64" s="74" t="s">
        <v>325</v>
      </c>
      <c r="D64" s="195" t="s">
        <v>478</v>
      </c>
      <c r="E64" s="194" t="s">
        <v>479</v>
      </c>
      <c r="F64" s="74" t="s">
        <v>332</v>
      </c>
      <c r="G64" s="74" t="s">
        <v>332</v>
      </c>
      <c r="H64" s="74" t="s">
        <v>529</v>
      </c>
      <c r="I64" s="74" t="s">
        <v>481</v>
      </c>
      <c r="J64" s="74" t="s">
        <v>332</v>
      </c>
      <c r="K64" s="74" t="s">
        <v>530</v>
      </c>
      <c r="L64" s="74" t="s">
        <v>483</v>
      </c>
      <c r="M64" s="74" t="s">
        <v>332</v>
      </c>
      <c r="N64" s="74" t="s">
        <v>472</v>
      </c>
      <c r="O64" s="74" t="s">
        <v>332</v>
      </c>
      <c r="P64" s="74" t="s">
        <v>484</v>
      </c>
      <c r="Q64" s="74" t="s">
        <v>474</v>
      </c>
      <c r="R64" s="74" t="s">
        <v>332</v>
      </c>
      <c r="S64" s="74" t="s">
        <v>485</v>
      </c>
      <c r="T64" s="74" t="s">
        <v>332</v>
      </c>
      <c r="U64" s="74" t="s">
        <v>332</v>
      </c>
      <c r="V64" s="74" t="s">
        <v>342</v>
      </c>
      <c r="W64" s="74" t="s">
        <v>332</v>
      </c>
      <c r="X64" s="74" t="s">
        <v>486</v>
      </c>
      <c r="Y64" s="74" t="s">
        <v>487</v>
      </c>
      <c r="Z64" s="74" t="s">
        <v>432</v>
      </c>
      <c r="AA64" s="74" t="s">
        <v>332</v>
      </c>
      <c r="AB64" s="74" t="s">
        <v>332</v>
      </c>
      <c r="AC64" s="74" t="s">
        <v>432</v>
      </c>
      <c r="AD64" s="74" t="s">
        <v>342</v>
      </c>
      <c r="AE64" s="74" t="s">
        <v>332</v>
      </c>
      <c r="AF64" s="74" t="s">
        <v>342</v>
      </c>
      <c r="AG64" s="74" t="s">
        <v>342</v>
      </c>
      <c r="AH64" s="74" t="s">
        <v>342</v>
      </c>
      <c r="AI64" s="74" t="s">
        <v>342</v>
      </c>
      <c r="AJ64" s="74" t="s">
        <v>342</v>
      </c>
      <c r="AK64" s="74" t="s">
        <v>342</v>
      </c>
      <c r="AL64" s="74" t="s">
        <v>342</v>
      </c>
    </row>
    <row r="65" spans="1:42" ht="86" thickBot="1">
      <c r="A65" s="160" t="s">
        <v>135</v>
      </c>
      <c r="D65" s="195" t="s">
        <v>208</v>
      </c>
      <c r="E65" s="194" t="s">
        <v>488</v>
      </c>
      <c r="F65" s="74" t="s">
        <v>332</v>
      </c>
      <c r="G65" s="74" t="s">
        <v>332</v>
      </c>
      <c r="H65" s="74" t="s">
        <v>489</v>
      </c>
      <c r="I65" s="74" t="s">
        <v>490</v>
      </c>
      <c r="J65" s="74" t="s">
        <v>332</v>
      </c>
      <c r="K65" s="74" t="s">
        <v>491</v>
      </c>
      <c r="L65" s="74" t="s">
        <v>492</v>
      </c>
      <c r="M65" s="74" t="s">
        <v>332</v>
      </c>
      <c r="N65" s="74" t="s">
        <v>236</v>
      </c>
      <c r="O65" s="74" t="s">
        <v>332</v>
      </c>
      <c r="P65" s="74" t="s">
        <v>212</v>
      </c>
      <c r="Q65" s="74" t="s">
        <v>432</v>
      </c>
      <c r="R65" s="74" t="s">
        <v>342</v>
      </c>
      <c r="S65" s="74" t="s">
        <v>493</v>
      </c>
      <c r="T65" s="74" t="s">
        <v>531</v>
      </c>
      <c r="U65" s="74" t="s">
        <v>212</v>
      </c>
      <c r="V65" s="74" t="s">
        <v>342</v>
      </c>
      <c r="W65" s="74" t="s">
        <v>332</v>
      </c>
      <c r="X65" s="74" t="s">
        <v>496</v>
      </c>
      <c r="Y65" s="74" t="s">
        <v>497</v>
      </c>
      <c r="Z65" s="74" t="s">
        <v>332</v>
      </c>
      <c r="AA65" s="74" t="s">
        <v>342</v>
      </c>
      <c r="AB65" s="74" t="s">
        <v>332</v>
      </c>
      <c r="AC65" s="74" t="s">
        <v>332</v>
      </c>
      <c r="AD65" s="74" t="s">
        <v>342</v>
      </c>
      <c r="AE65" s="74" t="s">
        <v>342</v>
      </c>
      <c r="AF65" s="74" t="s">
        <v>342</v>
      </c>
      <c r="AG65" s="74" t="s">
        <v>342</v>
      </c>
      <c r="AH65" s="74" t="s">
        <v>342</v>
      </c>
      <c r="AI65" s="74" t="s">
        <v>342</v>
      </c>
      <c r="AJ65" s="74" t="s">
        <v>342</v>
      </c>
      <c r="AK65" s="74" t="s">
        <v>342</v>
      </c>
      <c r="AL65" s="74" t="s">
        <v>342</v>
      </c>
    </row>
    <row r="66" spans="1:42" ht="86" thickBot="1">
      <c r="A66" s="159" t="s">
        <v>274</v>
      </c>
      <c r="D66" s="195" t="s">
        <v>532</v>
      </c>
      <c r="E66" s="194" t="s">
        <v>533</v>
      </c>
      <c r="F66" s="74" t="s">
        <v>332</v>
      </c>
      <c r="G66" s="74" t="s">
        <v>534</v>
      </c>
      <c r="H66" s="74" t="s">
        <v>535</v>
      </c>
      <c r="I66" s="74" t="s">
        <v>536</v>
      </c>
      <c r="J66" s="74" t="s">
        <v>534</v>
      </c>
      <c r="K66" s="74" t="s">
        <v>537</v>
      </c>
      <c r="L66" s="74" t="s">
        <v>432</v>
      </c>
      <c r="M66" s="74" t="s">
        <v>332</v>
      </c>
      <c r="N66" s="74" t="s">
        <v>538</v>
      </c>
      <c r="O66" s="74" t="s">
        <v>332</v>
      </c>
      <c r="P66" s="74" t="s">
        <v>539</v>
      </c>
      <c r="Q66" s="74" t="s">
        <v>332</v>
      </c>
      <c r="R66" s="74" t="s">
        <v>332</v>
      </c>
      <c r="S66" s="74" t="s">
        <v>432</v>
      </c>
      <c r="T66" s="74" t="s">
        <v>332</v>
      </c>
      <c r="U66" s="74" t="s">
        <v>332</v>
      </c>
      <c r="V66" s="74" t="s">
        <v>342</v>
      </c>
      <c r="W66" s="74" t="s">
        <v>332</v>
      </c>
      <c r="X66" s="74" t="s">
        <v>486</v>
      </c>
      <c r="Y66" s="74" t="s">
        <v>332</v>
      </c>
      <c r="Z66" s="74" t="s">
        <v>432</v>
      </c>
      <c r="AA66" s="74" t="s">
        <v>332</v>
      </c>
      <c r="AB66" s="74" t="s">
        <v>332</v>
      </c>
      <c r="AC66" s="74" t="s">
        <v>432</v>
      </c>
      <c r="AD66" s="74" t="s">
        <v>342</v>
      </c>
      <c r="AE66" s="74" t="s">
        <v>332</v>
      </c>
      <c r="AF66" s="74" t="s">
        <v>342</v>
      </c>
      <c r="AG66" s="74" t="s">
        <v>342</v>
      </c>
      <c r="AH66" s="74" t="s">
        <v>342</v>
      </c>
      <c r="AI66" s="74" t="s">
        <v>342</v>
      </c>
      <c r="AJ66" s="74" t="s">
        <v>342</v>
      </c>
      <c r="AK66" s="74" t="s">
        <v>342</v>
      </c>
      <c r="AL66" s="74" t="s">
        <v>342</v>
      </c>
    </row>
    <row r="67" spans="1:42" ht="86" thickBot="1">
      <c r="C67" s="74" t="s">
        <v>540</v>
      </c>
      <c r="D67" s="195" t="s">
        <v>541</v>
      </c>
      <c r="E67" s="194" t="s">
        <v>542</v>
      </c>
      <c r="F67" s="74" t="s">
        <v>332</v>
      </c>
      <c r="G67" s="74" t="s">
        <v>543</v>
      </c>
      <c r="H67" s="74" t="s">
        <v>544</v>
      </c>
      <c r="I67" s="74" t="s">
        <v>545</v>
      </c>
      <c r="J67" s="74" t="s">
        <v>543</v>
      </c>
      <c r="K67" s="74" t="s">
        <v>546</v>
      </c>
      <c r="L67" s="74" t="s">
        <v>332</v>
      </c>
      <c r="M67" s="74" t="s">
        <v>332</v>
      </c>
      <c r="N67" s="74" t="s">
        <v>547</v>
      </c>
      <c r="O67" s="74" t="s">
        <v>548</v>
      </c>
      <c r="P67" s="74" t="s">
        <v>549</v>
      </c>
      <c r="Q67" s="74" t="s">
        <v>550</v>
      </c>
      <c r="R67" s="74" t="s">
        <v>332</v>
      </c>
      <c r="S67" s="74" t="s">
        <v>332</v>
      </c>
      <c r="T67" s="74" t="s">
        <v>392</v>
      </c>
      <c r="U67" s="74" t="s">
        <v>332</v>
      </c>
      <c r="V67" s="74" t="s">
        <v>332</v>
      </c>
      <c r="W67" s="74" t="s">
        <v>332</v>
      </c>
      <c r="X67" s="74" t="s">
        <v>195</v>
      </c>
      <c r="Y67" s="74" t="s">
        <v>435</v>
      </c>
      <c r="Z67" s="74" t="s">
        <v>551</v>
      </c>
      <c r="AA67" s="74" t="s">
        <v>332</v>
      </c>
      <c r="AB67" s="74" t="s">
        <v>332</v>
      </c>
      <c r="AC67" s="74" t="s">
        <v>391</v>
      </c>
      <c r="AD67" s="74" t="s">
        <v>342</v>
      </c>
      <c r="AE67" s="74" t="s">
        <v>332</v>
      </c>
      <c r="AF67" s="74" t="s">
        <v>342</v>
      </c>
      <c r="AG67" s="74" t="s">
        <v>342</v>
      </c>
      <c r="AH67" s="74" t="s">
        <v>342</v>
      </c>
      <c r="AI67" s="74" t="s">
        <v>342</v>
      </c>
      <c r="AJ67" s="74" t="s">
        <v>342</v>
      </c>
      <c r="AK67" s="74" t="s">
        <v>342</v>
      </c>
      <c r="AL67" s="74" t="s">
        <v>342</v>
      </c>
    </row>
    <row r="68" spans="1:42" ht="35" thickBot="1">
      <c r="B68" s="74" t="s">
        <v>552</v>
      </c>
      <c r="D68" s="195" t="s">
        <v>330</v>
      </c>
      <c r="E68" s="194" t="s">
        <v>331</v>
      </c>
      <c r="F68" s="74" t="s">
        <v>332</v>
      </c>
      <c r="G68" s="74" t="s">
        <v>435</v>
      </c>
      <c r="H68" s="74" t="s">
        <v>499</v>
      </c>
      <c r="I68" s="74" t="s">
        <v>500</v>
      </c>
      <c r="J68" s="74" t="s">
        <v>435</v>
      </c>
      <c r="K68" s="200" t="s">
        <v>501</v>
      </c>
      <c r="L68" s="74" t="s">
        <v>332</v>
      </c>
      <c r="M68" s="74" t="s">
        <v>391</v>
      </c>
      <c r="N68" s="74" t="s">
        <v>403</v>
      </c>
      <c r="O68" s="74" t="s">
        <v>332</v>
      </c>
      <c r="P68" s="200" t="s">
        <v>389</v>
      </c>
      <c r="Q68" s="74" t="s">
        <v>332</v>
      </c>
      <c r="R68" s="74" t="s">
        <v>332</v>
      </c>
      <c r="S68" s="74" t="s">
        <v>403</v>
      </c>
      <c r="T68" s="74" t="s">
        <v>332</v>
      </c>
      <c r="U68" s="74" t="s">
        <v>342</v>
      </c>
      <c r="V68" s="74" t="s">
        <v>342</v>
      </c>
      <c r="W68" s="74" t="s">
        <v>391</v>
      </c>
      <c r="X68" s="74" t="s">
        <v>430</v>
      </c>
      <c r="Y68" s="74" t="s">
        <v>332</v>
      </c>
      <c r="Z68" s="74" t="s">
        <v>343</v>
      </c>
      <c r="AA68" s="74" t="s">
        <v>332</v>
      </c>
      <c r="AB68" s="74" t="s">
        <v>332</v>
      </c>
      <c r="AC68" s="74" t="s">
        <v>332</v>
      </c>
      <c r="AD68" s="74" t="s">
        <v>332</v>
      </c>
      <c r="AE68" s="74" t="s">
        <v>332</v>
      </c>
      <c r="AF68" s="74" t="s">
        <v>413</v>
      </c>
      <c r="AG68" s="74" t="s">
        <v>332</v>
      </c>
      <c r="AH68" s="74" t="s">
        <v>342</v>
      </c>
      <c r="AI68" s="74" t="s">
        <v>342</v>
      </c>
      <c r="AJ68" s="74" t="s">
        <v>342</v>
      </c>
      <c r="AK68" s="74" t="s">
        <v>342</v>
      </c>
      <c r="AL68" s="74" t="s">
        <v>342</v>
      </c>
      <c r="AM68" s="74" t="s">
        <v>342</v>
      </c>
      <c r="AN68" s="74" t="s">
        <v>342</v>
      </c>
      <c r="AO68" s="74" t="s">
        <v>342</v>
      </c>
      <c r="AP68" s="74" t="s">
        <v>342</v>
      </c>
    </row>
  </sheetData>
  <mergeCells count="20">
    <mergeCell ref="D53:E53"/>
    <mergeCell ref="D59:E59"/>
    <mergeCell ref="F3:J3"/>
    <mergeCell ref="F4:J4"/>
    <mergeCell ref="F5:J5"/>
    <mergeCell ref="F6:M6"/>
    <mergeCell ref="F7:J7"/>
    <mergeCell ref="B42:B48"/>
    <mergeCell ref="C43:C48"/>
    <mergeCell ref="D43:D48"/>
    <mergeCell ref="F8:J8"/>
    <mergeCell ref="C13:C18"/>
    <mergeCell ref="D13:D18"/>
    <mergeCell ref="B12:B18"/>
    <mergeCell ref="B33:B39"/>
    <mergeCell ref="C34:C39"/>
    <mergeCell ref="D34:D39"/>
    <mergeCell ref="B23:B29"/>
    <mergeCell ref="C24:C29"/>
    <mergeCell ref="D24:D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0075-5C51-4093-9DE0-237C58AA6DA6}">
  <sheetPr codeName="Sheet5"/>
  <dimension ref="A1:Q122"/>
  <sheetViews>
    <sheetView topLeftCell="C24" zoomScale="103" workbookViewId="0">
      <selection activeCell="H29" sqref="H29"/>
    </sheetView>
  </sheetViews>
  <sheetFormatPr baseColWidth="10" defaultColWidth="10.83203125" defaultRowHeight="16"/>
  <cols>
    <col min="1" max="1" width="5.1640625" style="69" customWidth="1"/>
    <col min="2" max="2" width="8.83203125" style="155" customWidth="1"/>
    <col min="3" max="3" width="11.33203125" style="87" customWidth="1"/>
    <col min="4" max="4" width="14.1640625" customWidth="1"/>
    <col min="5" max="5" width="12.6640625" customWidth="1"/>
    <col min="6" max="6" width="21.33203125" customWidth="1"/>
    <col min="7" max="7" width="10.1640625" style="73" customWidth="1"/>
    <col min="8" max="8" width="16.83203125" style="73" customWidth="1"/>
    <col min="9" max="9" width="12.83203125" style="80" customWidth="1"/>
    <col min="10" max="10" width="16.5" style="80" customWidth="1"/>
    <col min="11" max="11" width="16.1640625" style="84" customWidth="1"/>
    <col min="12" max="12" width="9.5" customWidth="1"/>
  </cols>
  <sheetData>
    <row r="1" spans="1:15" ht="90" customHeight="1">
      <c r="G1" s="150"/>
      <c r="H1" s="151"/>
      <c r="M1" s="163"/>
      <c r="O1" s="87" t="s">
        <v>553</v>
      </c>
    </row>
    <row r="2" spans="1:15">
      <c r="O2">
        <f>MIN($O$1)</f>
        <v>0</v>
      </c>
    </row>
    <row r="3" spans="1:15" s="87" customFormat="1" ht="59" customHeight="1">
      <c r="A3" s="74"/>
      <c r="C3" s="212"/>
      <c r="D3" s="212"/>
      <c r="G3" s="150"/>
      <c r="H3" s="150"/>
      <c r="I3" s="152"/>
      <c r="J3" s="152"/>
      <c r="K3" s="153"/>
      <c r="O3" s="87">
        <f>COUNT($C$11:$C$16)</f>
        <v>0</v>
      </c>
    </row>
    <row r="4" spans="1:15" ht="44" customHeight="1">
      <c r="A4" s="258" t="s">
        <v>21</v>
      </c>
      <c r="B4" s="257">
        <f>SUMPRODUCT(G4:G9, C4:C9)</f>
        <v>0</v>
      </c>
      <c r="C4" s="212"/>
      <c r="D4" s="162"/>
      <c r="G4" s="80"/>
      <c r="H4" s="154"/>
      <c r="J4" s="154"/>
      <c r="O4" t="b">
        <f>$B$11&lt;=37</f>
        <v>1</v>
      </c>
    </row>
    <row r="5" spans="1:15">
      <c r="A5" s="258"/>
      <c r="B5" s="257"/>
      <c r="C5" s="212"/>
      <c r="D5" s="119"/>
      <c r="G5" s="80"/>
      <c r="H5" s="154"/>
      <c r="J5" s="154"/>
      <c r="O5" t="b">
        <f>$B$11&gt;=35</f>
        <v>0</v>
      </c>
    </row>
    <row r="6" spans="1:15">
      <c r="A6" s="258"/>
      <c r="B6" s="257"/>
      <c r="C6" s="212"/>
      <c r="D6" s="119"/>
      <c r="G6" s="80"/>
      <c r="H6" s="154"/>
      <c r="J6" s="154"/>
      <c r="O6" t="b">
        <f>$C$11&lt;=2</f>
        <v>1</v>
      </c>
    </row>
    <row r="7" spans="1:15">
      <c r="A7" s="258"/>
      <c r="B7" s="257"/>
      <c r="C7" s="212"/>
      <c r="D7" s="119"/>
      <c r="G7" s="80"/>
      <c r="H7" s="154"/>
      <c r="J7" s="154"/>
      <c r="O7" t="b">
        <f>$C$11&gt;=1</f>
        <v>0</v>
      </c>
    </row>
    <row r="8" spans="1:15">
      <c r="A8" s="258"/>
      <c r="B8" s="257"/>
      <c r="C8" s="212"/>
      <c r="D8" s="119"/>
      <c r="G8" s="80"/>
      <c r="H8" s="154"/>
      <c r="J8" s="154"/>
      <c r="O8" t="b">
        <f t="array" ref="O8">$C$11:$C$16=INT($C$11:$C$16)</f>
        <v>1</v>
      </c>
    </row>
    <row r="9" spans="1:15">
      <c r="A9" s="258"/>
      <c r="B9" s="257"/>
      <c r="C9" s="212"/>
      <c r="D9" s="119"/>
      <c r="G9" s="80"/>
      <c r="H9" s="154"/>
      <c r="J9" s="154"/>
      <c r="O9" t="b">
        <f>$C$12&gt;=3</f>
        <v>0</v>
      </c>
    </row>
    <row r="10" spans="1:15">
      <c r="G10" s="80"/>
      <c r="H10" s="154"/>
      <c r="J10" s="154"/>
      <c r="O10" t="b">
        <f>$C$13&lt;=2</f>
        <v>1</v>
      </c>
    </row>
    <row r="11" spans="1:15" ht="44" customHeight="1">
      <c r="A11" s="258" t="s">
        <v>55</v>
      </c>
      <c r="B11" s="257">
        <f>SUMPRODUCT(G11:G16, C11:C16)</f>
        <v>0</v>
      </c>
      <c r="C11" s="212"/>
      <c r="D11" s="119"/>
      <c r="G11" s="80"/>
      <c r="H11" s="154"/>
      <c r="J11" s="154"/>
      <c r="O11" t="b">
        <f>$C$13&gt;=1</f>
        <v>0</v>
      </c>
    </row>
    <row r="12" spans="1:15">
      <c r="A12" s="258"/>
      <c r="B12" s="257"/>
      <c r="C12" s="212"/>
      <c r="D12" s="119"/>
      <c r="G12" s="80"/>
      <c r="H12" s="154"/>
      <c r="J12" s="154"/>
      <c r="O12" t="b">
        <f>$C$14&lt;=3</f>
        <v>1</v>
      </c>
    </row>
    <row r="13" spans="1:15">
      <c r="A13" s="258"/>
      <c r="B13" s="257"/>
      <c r="C13" s="212"/>
      <c r="D13" s="119"/>
      <c r="G13" s="80"/>
      <c r="H13" s="154"/>
      <c r="J13" s="154"/>
      <c r="O13" t="b">
        <f>$C$14&gt;=2</f>
        <v>0</v>
      </c>
    </row>
    <row r="14" spans="1:15">
      <c r="A14" s="258"/>
      <c r="B14" s="257"/>
      <c r="C14" s="212"/>
      <c r="D14" s="119"/>
      <c r="G14" s="80"/>
      <c r="H14" s="154"/>
      <c r="J14" s="154"/>
      <c r="O14" t="b">
        <f>$C$15&lt;=2</f>
        <v>1</v>
      </c>
    </row>
    <row r="15" spans="1:15">
      <c r="A15" s="258"/>
      <c r="B15" s="257"/>
      <c r="C15" s="212"/>
      <c r="D15" s="119"/>
      <c r="G15" s="80"/>
      <c r="H15" s="154"/>
      <c r="J15" s="154"/>
      <c r="O15" t="b">
        <f>$C$16&lt;=3</f>
        <v>1</v>
      </c>
    </row>
    <row r="16" spans="1:15">
      <c r="A16" s="258"/>
      <c r="B16" s="257"/>
      <c r="C16" s="212"/>
      <c r="D16" s="119"/>
      <c r="G16" s="80"/>
      <c r="H16" s="154"/>
      <c r="J16" s="154"/>
      <c r="O16" t="b">
        <f>$C$16&gt;=2</f>
        <v>0</v>
      </c>
    </row>
    <row r="17" spans="1:15">
      <c r="G17" s="80"/>
      <c r="H17" s="154"/>
      <c r="J17" s="154"/>
      <c r="O17" t="b">
        <f>$D$11&lt;=$H$11</f>
        <v>1</v>
      </c>
    </row>
    <row r="18" spans="1:15" ht="44" customHeight="1">
      <c r="A18" s="258" t="s">
        <v>123</v>
      </c>
      <c r="B18" s="257">
        <f>SUMPRODUCT(G18:G23, C18:C23)</f>
        <v>0</v>
      </c>
      <c r="C18" s="212"/>
      <c r="D18" s="119"/>
      <c r="G18" s="80"/>
      <c r="H18" s="154"/>
      <c r="J18" s="154"/>
      <c r="O18" t="b">
        <f>$D$12&lt;=$H$12</f>
        <v>1</v>
      </c>
    </row>
    <row r="19" spans="1:15">
      <c r="A19" s="258"/>
      <c r="B19" s="257"/>
      <c r="C19" s="212"/>
      <c r="D19" s="119"/>
      <c r="G19" s="80"/>
      <c r="H19" s="154"/>
      <c r="J19" s="154"/>
      <c r="O19" t="b">
        <f>$D$13&lt;=$H$13</f>
        <v>1</v>
      </c>
    </row>
    <row r="20" spans="1:15">
      <c r="A20" s="258"/>
      <c r="B20" s="257"/>
      <c r="C20" s="212"/>
      <c r="D20" s="119"/>
      <c r="G20" s="80"/>
      <c r="H20" s="154"/>
      <c r="J20" s="154"/>
      <c r="O20" t="b">
        <f>$D$14&lt;=$H$14</f>
        <v>1</v>
      </c>
    </row>
    <row r="21" spans="1:15">
      <c r="A21" s="258"/>
      <c r="B21" s="257"/>
      <c r="C21" s="212"/>
      <c r="D21" s="119"/>
      <c r="G21" s="80"/>
      <c r="H21" s="154"/>
      <c r="J21" s="154"/>
      <c r="O21" t="b">
        <f>$D$15&lt;=$H$15</f>
        <v>1</v>
      </c>
    </row>
    <row r="22" spans="1:15">
      <c r="A22" s="258"/>
      <c r="B22" s="257"/>
      <c r="C22" s="212"/>
      <c r="D22" s="119"/>
      <c r="G22" s="80"/>
      <c r="H22" s="154"/>
      <c r="J22" s="154"/>
      <c r="O22" t="b">
        <f>$D$16&lt;=$H$16</f>
        <v>1</v>
      </c>
    </row>
    <row r="23" spans="1:15">
      <c r="A23" s="258"/>
      <c r="B23" s="257"/>
      <c r="C23" s="212"/>
      <c r="D23" s="119"/>
      <c r="G23" s="80"/>
      <c r="H23" s="154"/>
      <c r="J23" s="154"/>
      <c r="O23">
        <f>{32767,32767,0.000001,0.01,FALSE,FALSE,TRUE,1,1,1,0.0001,TRUE}</f>
        <v>32767</v>
      </c>
    </row>
    <row r="24" spans="1:15">
      <c r="G24" s="80"/>
      <c r="H24" s="154"/>
      <c r="J24" s="154"/>
      <c r="O24">
        <f>{0,0,0,100,0,FALSE,TRUE,0.075,0,0,FALSE,30}</f>
        <v>0</v>
      </c>
    </row>
    <row r="25" spans="1:15">
      <c r="G25" s="80"/>
      <c r="H25" s="154"/>
      <c r="J25" s="154"/>
    </row>
    <row r="26" spans="1:15">
      <c r="G26" s="80"/>
      <c r="H26" s="154"/>
      <c r="J26" s="154"/>
    </row>
    <row r="27" spans="1:15">
      <c r="G27" s="80"/>
      <c r="H27" s="154"/>
      <c r="J27" s="154"/>
    </row>
    <row r="28" spans="1:15">
      <c r="G28" s="80"/>
      <c r="H28" s="154"/>
      <c r="J28" s="154"/>
    </row>
    <row r="29" spans="1:15">
      <c r="G29" s="80"/>
      <c r="H29" s="154"/>
      <c r="J29" s="154"/>
    </row>
    <row r="30" spans="1:15">
      <c r="G30" s="80"/>
      <c r="H30" s="154"/>
      <c r="J30" s="154"/>
    </row>
    <row r="31" spans="1:15">
      <c r="G31" s="80"/>
      <c r="H31" s="154"/>
      <c r="J31" s="154"/>
    </row>
    <row r="33" spans="4:17" ht="34">
      <c r="D33" s="77" t="s">
        <v>4</v>
      </c>
      <c r="E33" s="77" t="s">
        <v>5</v>
      </c>
      <c r="F33" s="77" t="s">
        <v>6</v>
      </c>
      <c r="G33" s="78" t="s">
        <v>7</v>
      </c>
      <c r="H33" s="78" t="s">
        <v>8</v>
      </c>
      <c r="I33" s="81" t="s">
        <v>9</v>
      </c>
      <c r="J33" s="81" t="s">
        <v>10</v>
      </c>
      <c r="K33" s="81" t="s">
        <v>11</v>
      </c>
    </row>
    <row r="34" spans="4:17">
      <c r="D34" t="s">
        <v>46</v>
      </c>
      <c r="E34" t="s">
        <v>22</v>
      </c>
      <c r="F34" t="s">
        <v>48</v>
      </c>
      <c r="G34" s="79">
        <f t="shared" ref="G34:G44" si="0">H34*(1+$E$1)</f>
        <v>1.99</v>
      </c>
      <c r="H34" s="79">
        <f>AVERAGE(I34:K34)</f>
        <v>1.99</v>
      </c>
      <c r="I34" s="79"/>
      <c r="J34" s="79">
        <v>1.99</v>
      </c>
      <c r="K34" s="79"/>
    </row>
    <row r="35" spans="4:17">
      <c r="D35" t="s">
        <v>46</v>
      </c>
      <c r="E35" t="s">
        <v>22</v>
      </c>
      <c r="F35" t="s">
        <v>54</v>
      </c>
      <c r="G35" s="79">
        <f t="shared" si="0"/>
        <v>1.65</v>
      </c>
      <c r="H35" s="79">
        <f t="shared" ref="H35:H44" si="1">AVERAGE(I35:K35)</f>
        <v>1.65</v>
      </c>
      <c r="I35" s="79"/>
      <c r="J35" s="79"/>
      <c r="K35" s="79">
        <v>1.65</v>
      </c>
    </row>
    <row r="36" spans="4:17">
      <c r="D36" t="s">
        <v>511</v>
      </c>
      <c r="E36" t="s">
        <v>22</v>
      </c>
      <c r="F36" t="s">
        <v>47</v>
      </c>
      <c r="G36" s="79">
        <f t="shared" si="0"/>
        <v>2.6</v>
      </c>
      <c r="H36" s="79">
        <f t="shared" si="1"/>
        <v>2.6</v>
      </c>
      <c r="I36" s="79"/>
      <c r="J36" s="79">
        <v>2.6</v>
      </c>
      <c r="K36" s="79"/>
    </row>
    <row r="37" spans="4:17">
      <c r="D37" t="s">
        <v>21</v>
      </c>
      <c r="E37" t="s">
        <v>22</v>
      </c>
      <c r="F37" t="s">
        <v>24</v>
      </c>
      <c r="G37" s="79">
        <f t="shared" si="0"/>
        <v>4.0999999999999996</v>
      </c>
      <c r="H37" s="79">
        <f t="shared" si="1"/>
        <v>4.0999999999999996</v>
      </c>
      <c r="I37" s="79"/>
      <c r="J37" s="79"/>
      <c r="K37" s="79">
        <v>4.0999999999999996</v>
      </c>
      <c r="M37" s="91" t="s">
        <v>142</v>
      </c>
      <c r="N37" s="91" t="s">
        <v>554</v>
      </c>
      <c r="O37" s="91" t="s">
        <v>555</v>
      </c>
      <c r="P37" s="92">
        <f>AVERAGE(G34:G36)</f>
        <v>2.08</v>
      </c>
      <c r="Q37" s="93">
        <f>AVERAGE(H34:H36)</f>
        <v>2.08</v>
      </c>
    </row>
    <row r="38" spans="4:17">
      <c r="D38" t="s">
        <v>21</v>
      </c>
      <c r="E38" t="s">
        <v>22</v>
      </c>
      <c r="F38" t="s">
        <v>23</v>
      </c>
      <c r="G38" s="79">
        <f t="shared" si="0"/>
        <v>4.3</v>
      </c>
      <c r="H38" s="79">
        <f t="shared" si="1"/>
        <v>4.3</v>
      </c>
      <c r="I38" s="79"/>
      <c r="J38" s="79"/>
      <c r="K38" s="79">
        <v>4.3</v>
      </c>
      <c r="M38" s="91" t="s">
        <v>556</v>
      </c>
      <c r="N38" s="91" t="s">
        <v>554</v>
      </c>
      <c r="O38" s="91" t="s">
        <v>555</v>
      </c>
      <c r="P38" s="93">
        <f>AVERAGE(G40:G44)</f>
        <v>3.81</v>
      </c>
      <c r="Q38" s="93">
        <f>AVERAGE(H37:H39)</f>
        <v>4.1249999999999991</v>
      </c>
    </row>
    <row r="39" spans="4:17">
      <c r="D39" t="s">
        <v>21</v>
      </c>
      <c r="E39" t="s">
        <v>22</v>
      </c>
      <c r="F39" t="s">
        <v>25</v>
      </c>
      <c r="G39" s="79">
        <f t="shared" si="0"/>
        <v>3.9750000000000001</v>
      </c>
      <c r="H39" s="79">
        <f t="shared" si="1"/>
        <v>3.9750000000000001</v>
      </c>
      <c r="I39" s="79">
        <v>4</v>
      </c>
      <c r="J39" s="79">
        <v>3.95</v>
      </c>
      <c r="K39" s="79"/>
      <c r="M39" s="91" t="s">
        <v>21</v>
      </c>
      <c r="N39" s="91" t="s">
        <v>554</v>
      </c>
      <c r="O39" s="91" t="s">
        <v>555</v>
      </c>
      <c r="P39" s="93">
        <f>AVERAGE(G37:G39)</f>
        <v>4.1249999999999991</v>
      </c>
      <c r="Q39" s="93">
        <f>AVERAGE(H41:H114)</f>
        <v>1.5783210784313726</v>
      </c>
    </row>
    <row r="40" spans="4:17">
      <c r="D40" t="s">
        <v>55</v>
      </c>
      <c r="E40" t="s">
        <v>22</v>
      </c>
      <c r="F40" t="s">
        <v>70</v>
      </c>
      <c r="G40" s="79">
        <f t="shared" si="0"/>
        <v>3.9750000000000001</v>
      </c>
      <c r="H40" s="79">
        <f t="shared" si="1"/>
        <v>3.9750000000000001</v>
      </c>
      <c r="I40" s="79">
        <v>4</v>
      </c>
      <c r="J40" s="79">
        <v>3.95</v>
      </c>
      <c r="K40" s="79"/>
    </row>
    <row r="41" spans="4:17">
      <c r="D41" t="s">
        <v>55</v>
      </c>
      <c r="E41" t="s">
        <v>22</v>
      </c>
      <c r="F41" t="s">
        <v>71</v>
      </c>
      <c r="G41" s="79">
        <f t="shared" si="0"/>
        <v>4.4749999999999996</v>
      </c>
      <c r="H41" s="79">
        <f t="shared" si="1"/>
        <v>4.4749999999999996</v>
      </c>
      <c r="I41" s="79">
        <v>4</v>
      </c>
      <c r="J41" s="79">
        <v>4.95</v>
      </c>
      <c r="K41" s="79"/>
    </row>
    <row r="42" spans="4:17">
      <c r="D42" t="s">
        <v>55</v>
      </c>
      <c r="E42" t="s">
        <v>22</v>
      </c>
      <c r="F42" t="s">
        <v>73</v>
      </c>
      <c r="G42" s="79">
        <f t="shared" si="0"/>
        <v>3.3</v>
      </c>
      <c r="H42" s="79">
        <f t="shared" si="1"/>
        <v>3.3</v>
      </c>
      <c r="I42" s="79">
        <v>3</v>
      </c>
      <c r="J42" s="79">
        <v>3.6</v>
      </c>
      <c r="K42" s="79"/>
    </row>
    <row r="43" spans="4:17">
      <c r="D43" t="s">
        <v>55</v>
      </c>
      <c r="E43" t="s">
        <v>22</v>
      </c>
      <c r="F43" t="s">
        <v>72</v>
      </c>
      <c r="G43" s="79">
        <f t="shared" si="0"/>
        <v>3.9750000000000001</v>
      </c>
      <c r="H43" s="79">
        <f t="shared" si="1"/>
        <v>3.9750000000000001</v>
      </c>
      <c r="I43" s="79">
        <v>4</v>
      </c>
      <c r="J43" s="79">
        <v>3.95</v>
      </c>
      <c r="K43" s="79"/>
      <c r="M43" t="s">
        <v>21</v>
      </c>
      <c r="N43" t="s">
        <v>557</v>
      </c>
    </row>
    <row r="44" spans="4:17">
      <c r="D44" t="s">
        <v>55</v>
      </c>
      <c r="E44" t="s">
        <v>22</v>
      </c>
      <c r="F44" t="s">
        <v>74</v>
      </c>
      <c r="G44" s="79">
        <f t="shared" si="0"/>
        <v>3.3250000000000002</v>
      </c>
      <c r="H44" s="79">
        <f t="shared" si="1"/>
        <v>3.3250000000000002</v>
      </c>
      <c r="I44" s="79">
        <v>3</v>
      </c>
      <c r="J44" s="79">
        <v>3.65</v>
      </c>
      <c r="K44" s="79"/>
      <c r="M44" t="s">
        <v>55</v>
      </c>
      <c r="N44" t="s">
        <v>558</v>
      </c>
    </row>
    <row r="45" spans="4:17">
      <c r="D45" s="94" t="s">
        <v>79</v>
      </c>
      <c r="E45" t="s">
        <v>22</v>
      </c>
      <c r="F45" t="s">
        <v>120</v>
      </c>
      <c r="G45" s="79">
        <f>H45*(1+$E$1)</f>
        <v>1.7</v>
      </c>
      <c r="H45" s="79">
        <f>AVERAGE(I45:K45)</f>
        <v>1.7</v>
      </c>
      <c r="I45" s="79">
        <v>1.4</v>
      </c>
      <c r="J45" s="79">
        <v>2</v>
      </c>
      <c r="K45" s="105"/>
    </row>
    <row r="46" spans="4:17">
      <c r="M46" t="s">
        <v>123</v>
      </c>
      <c r="N46" t="s">
        <v>559</v>
      </c>
    </row>
    <row r="47" spans="4:17">
      <c r="D47" s="94" t="s">
        <v>46</v>
      </c>
      <c r="E47" t="s">
        <v>421</v>
      </c>
      <c r="F47" t="s">
        <v>89</v>
      </c>
      <c r="G47" s="79">
        <f t="shared" ref="G47:G75" si="2">H47*(1+$E$1)</f>
        <v>1</v>
      </c>
      <c r="H47" s="79">
        <f t="shared" ref="H47:H75" si="3">AVERAGE(I47:K47)</f>
        <v>1</v>
      </c>
      <c r="I47" s="79"/>
      <c r="J47" s="79">
        <v>1</v>
      </c>
      <c r="K47" s="105"/>
      <c r="M47" t="s">
        <v>511</v>
      </c>
      <c r="N47" t="s">
        <v>560</v>
      </c>
    </row>
    <row r="48" spans="4:17">
      <c r="D48" s="94" t="s">
        <v>561</v>
      </c>
      <c r="E48" t="s">
        <v>26</v>
      </c>
      <c r="F48" t="s">
        <v>37</v>
      </c>
      <c r="G48" s="79">
        <f t="shared" si="2"/>
        <v>1.79</v>
      </c>
      <c r="H48" s="79">
        <f t="shared" si="3"/>
        <v>1.79</v>
      </c>
      <c r="I48" s="79"/>
      <c r="J48" s="79">
        <v>1.79</v>
      </c>
      <c r="K48" s="105"/>
    </row>
    <row r="49" spans="4:11">
      <c r="D49" s="94" t="s">
        <v>511</v>
      </c>
      <c r="E49" t="s">
        <v>26</v>
      </c>
      <c r="F49" t="s">
        <v>84</v>
      </c>
      <c r="G49" s="79">
        <f t="shared" si="2"/>
        <v>2.1</v>
      </c>
      <c r="H49" s="79">
        <f t="shared" si="3"/>
        <v>2.1</v>
      </c>
      <c r="I49" s="79"/>
      <c r="J49" s="79"/>
      <c r="K49" s="105">
        <v>2.1</v>
      </c>
    </row>
    <row r="50" spans="4:11">
      <c r="D50" s="94" t="s">
        <v>511</v>
      </c>
      <c r="E50" t="s">
        <v>26</v>
      </c>
      <c r="F50" t="s">
        <v>83</v>
      </c>
      <c r="G50" s="79">
        <f t="shared" si="2"/>
        <v>3</v>
      </c>
      <c r="H50" s="79">
        <f t="shared" si="3"/>
        <v>3</v>
      </c>
      <c r="I50" s="79">
        <v>3</v>
      </c>
      <c r="J50" s="79"/>
      <c r="K50" s="105"/>
    </row>
    <row r="51" spans="4:11">
      <c r="D51" s="94" t="s">
        <v>46</v>
      </c>
      <c r="E51" t="s">
        <v>26</v>
      </c>
      <c r="F51" t="s">
        <v>88</v>
      </c>
      <c r="G51" s="79">
        <f t="shared" si="2"/>
        <v>1.4</v>
      </c>
      <c r="H51" s="79">
        <f t="shared" si="3"/>
        <v>1.4</v>
      </c>
      <c r="I51" s="79">
        <v>1.4</v>
      </c>
      <c r="J51" s="79"/>
      <c r="K51" s="105"/>
    </row>
    <row r="52" spans="4:11">
      <c r="D52" s="94" t="s">
        <v>79</v>
      </c>
      <c r="E52" t="s">
        <v>26</v>
      </c>
      <c r="F52" t="s">
        <v>80</v>
      </c>
      <c r="G52" s="79">
        <f t="shared" si="2"/>
        <v>1.25</v>
      </c>
      <c r="H52" s="79">
        <f t="shared" si="3"/>
        <v>1.25</v>
      </c>
      <c r="I52" s="79">
        <v>1.3</v>
      </c>
      <c r="J52" s="79">
        <v>1.2</v>
      </c>
      <c r="K52" s="105"/>
    </row>
    <row r="53" spans="4:11">
      <c r="D53" s="94" t="s">
        <v>46</v>
      </c>
      <c r="E53" t="s">
        <v>26</v>
      </c>
      <c r="F53" t="s">
        <v>85</v>
      </c>
      <c r="G53" s="79">
        <f t="shared" si="2"/>
        <v>1</v>
      </c>
      <c r="H53" s="79">
        <f t="shared" si="3"/>
        <v>1</v>
      </c>
      <c r="I53" s="79"/>
      <c r="J53" s="79"/>
      <c r="K53" s="105">
        <v>1</v>
      </c>
    </row>
    <row r="54" spans="4:11">
      <c r="D54" s="94" t="s">
        <v>76</v>
      </c>
      <c r="E54" t="s">
        <v>26</v>
      </c>
      <c r="F54" t="s">
        <v>77</v>
      </c>
      <c r="G54" s="79">
        <f t="shared" si="2"/>
        <v>1.2</v>
      </c>
      <c r="H54" s="79">
        <f t="shared" si="3"/>
        <v>1.2</v>
      </c>
      <c r="I54" s="79">
        <v>1.4</v>
      </c>
      <c r="J54" s="79"/>
      <c r="K54" s="105">
        <v>1</v>
      </c>
    </row>
    <row r="55" spans="4:11">
      <c r="D55" s="94" t="s">
        <v>76</v>
      </c>
      <c r="E55" t="s">
        <v>26</v>
      </c>
      <c r="F55" t="s">
        <v>78</v>
      </c>
      <c r="G55" s="79">
        <f t="shared" si="2"/>
        <v>1.4</v>
      </c>
      <c r="H55" s="79">
        <f t="shared" si="3"/>
        <v>1.4</v>
      </c>
      <c r="I55" s="79"/>
      <c r="J55" s="79"/>
      <c r="K55" s="105">
        <v>1.4</v>
      </c>
    </row>
    <row r="56" spans="4:11">
      <c r="D56" s="94" t="s">
        <v>46</v>
      </c>
      <c r="E56" t="s">
        <v>26</v>
      </c>
      <c r="F56" t="s">
        <v>91</v>
      </c>
      <c r="G56" s="79">
        <f t="shared" si="2"/>
        <v>1.1000000000000001</v>
      </c>
      <c r="H56" s="79">
        <f t="shared" si="3"/>
        <v>1.1000000000000001</v>
      </c>
      <c r="I56" s="79">
        <v>1.2</v>
      </c>
      <c r="J56" s="79"/>
      <c r="K56" s="105">
        <v>1</v>
      </c>
    </row>
    <row r="57" spans="4:11">
      <c r="D57" s="94" t="s">
        <v>46</v>
      </c>
      <c r="E57" t="s">
        <v>26</v>
      </c>
      <c r="F57" t="s">
        <v>86</v>
      </c>
      <c r="G57" s="79">
        <f t="shared" si="2"/>
        <v>2.2374999999999998</v>
      </c>
      <c r="H57" s="79">
        <f t="shared" si="3"/>
        <v>2.2374999999999998</v>
      </c>
      <c r="I57" s="79">
        <f>17.25/10</f>
        <v>1.7250000000000001</v>
      </c>
      <c r="J57" s="79">
        <v>2.75</v>
      </c>
      <c r="K57" s="105"/>
    </row>
    <row r="58" spans="4:11">
      <c r="D58" s="94" t="s">
        <v>76</v>
      </c>
      <c r="E58" t="s">
        <v>26</v>
      </c>
      <c r="F58" t="s">
        <v>118</v>
      </c>
      <c r="G58" s="79">
        <f t="shared" si="2"/>
        <v>1.7250000000000001</v>
      </c>
      <c r="H58" s="79">
        <f t="shared" si="3"/>
        <v>1.7250000000000001</v>
      </c>
      <c r="I58" s="79">
        <v>1.55</v>
      </c>
      <c r="J58" s="79">
        <v>1.9</v>
      </c>
      <c r="K58" s="105"/>
    </row>
    <row r="59" spans="4:11">
      <c r="D59" s="94" t="s">
        <v>79</v>
      </c>
      <c r="E59" t="s">
        <v>26</v>
      </c>
      <c r="F59" t="s">
        <v>81</v>
      </c>
      <c r="G59" s="79">
        <f t="shared" si="2"/>
        <v>1.6</v>
      </c>
      <c r="H59" s="79">
        <f t="shared" si="3"/>
        <v>1.6</v>
      </c>
      <c r="I59" s="79"/>
      <c r="J59" s="79">
        <v>1.6</v>
      </c>
      <c r="K59" s="105"/>
    </row>
    <row r="60" spans="4:11">
      <c r="D60" s="94" t="s">
        <v>79</v>
      </c>
      <c r="E60" t="s">
        <v>26</v>
      </c>
      <c r="F60" t="s">
        <v>122</v>
      </c>
      <c r="G60" s="79">
        <f t="shared" si="2"/>
        <v>2.4</v>
      </c>
      <c r="H60" s="79">
        <f t="shared" si="3"/>
        <v>2.4</v>
      </c>
      <c r="I60" s="79"/>
      <c r="J60" s="79">
        <v>2.4</v>
      </c>
      <c r="K60" s="105"/>
    </row>
    <row r="61" spans="4:11">
      <c r="D61" s="94" t="s">
        <v>46</v>
      </c>
      <c r="E61" t="s">
        <v>26</v>
      </c>
      <c r="F61" t="s">
        <v>125</v>
      </c>
      <c r="G61" s="79">
        <f t="shared" si="2"/>
        <v>1.5049999999999999</v>
      </c>
      <c r="H61" s="79">
        <f t="shared" si="3"/>
        <v>1.5049999999999999</v>
      </c>
      <c r="I61" s="79">
        <v>1.3</v>
      </c>
      <c r="J61" s="79">
        <v>1.71</v>
      </c>
      <c r="K61" s="105"/>
    </row>
    <row r="62" spans="4:11">
      <c r="D62" s="94" t="s">
        <v>46</v>
      </c>
      <c r="E62" t="s">
        <v>26</v>
      </c>
      <c r="F62" t="s">
        <v>82</v>
      </c>
      <c r="G62" s="79">
        <f t="shared" si="2"/>
        <v>1.6</v>
      </c>
      <c r="H62" s="79">
        <f t="shared" si="3"/>
        <v>1.6</v>
      </c>
      <c r="I62" s="79">
        <v>1.4</v>
      </c>
      <c r="J62" s="79">
        <v>1.8</v>
      </c>
      <c r="K62" s="105"/>
    </row>
    <row r="63" spans="4:11">
      <c r="D63" s="94" t="s">
        <v>30</v>
      </c>
      <c r="E63" t="s">
        <v>26</v>
      </c>
      <c r="F63" t="s">
        <v>32</v>
      </c>
      <c r="G63" s="79">
        <f t="shared" si="2"/>
        <v>2.0499999999999998</v>
      </c>
      <c r="H63" s="79">
        <f t="shared" si="3"/>
        <v>2.0499999999999998</v>
      </c>
      <c r="I63" s="79"/>
      <c r="J63" s="79">
        <v>2.0499999999999998</v>
      </c>
      <c r="K63" s="105"/>
    </row>
    <row r="64" spans="4:11">
      <c r="D64" s="94" t="s">
        <v>21</v>
      </c>
      <c r="E64" t="s">
        <v>26</v>
      </c>
      <c r="F64" t="s">
        <v>27</v>
      </c>
      <c r="G64" s="79">
        <f t="shared" si="2"/>
        <v>1.9</v>
      </c>
      <c r="H64" s="79">
        <f t="shared" si="3"/>
        <v>1.9</v>
      </c>
      <c r="I64" s="79"/>
      <c r="J64" s="79">
        <v>1.9</v>
      </c>
      <c r="K64" s="105"/>
    </row>
    <row r="65" spans="4:11">
      <c r="D65" s="94" t="s">
        <v>30</v>
      </c>
      <c r="E65" t="s">
        <v>26</v>
      </c>
      <c r="F65" t="s">
        <v>31</v>
      </c>
      <c r="G65" s="79">
        <f t="shared" si="2"/>
        <v>1.5</v>
      </c>
      <c r="H65" s="79">
        <f t="shared" si="3"/>
        <v>1.5</v>
      </c>
      <c r="I65" s="79"/>
      <c r="J65" s="79"/>
      <c r="K65" s="105">
        <f>15/10</f>
        <v>1.5</v>
      </c>
    </row>
    <row r="66" spans="4:11">
      <c r="D66" s="94" t="s">
        <v>21</v>
      </c>
      <c r="E66" t="s">
        <v>26</v>
      </c>
      <c r="F66" t="s">
        <v>562</v>
      </c>
      <c r="G66" s="79">
        <f t="shared" si="2"/>
        <v>0.95</v>
      </c>
      <c r="H66" s="79">
        <f t="shared" si="3"/>
        <v>0.95</v>
      </c>
      <c r="I66" s="79"/>
      <c r="J66" s="79"/>
      <c r="K66" s="105">
        <f>9.5/10</f>
        <v>0.95</v>
      </c>
    </row>
    <row r="67" spans="4:11">
      <c r="D67" s="94" t="s">
        <v>21</v>
      </c>
      <c r="E67" t="s">
        <v>26</v>
      </c>
      <c r="F67" t="s">
        <v>29</v>
      </c>
      <c r="G67" s="79">
        <f t="shared" si="2"/>
        <v>1</v>
      </c>
      <c r="H67" s="79">
        <f t="shared" si="3"/>
        <v>1</v>
      </c>
      <c r="I67" s="79">
        <v>1.1000000000000001</v>
      </c>
      <c r="J67" s="79">
        <v>0.9</v>
      </c>
      <c r="K67" s="105"/>
    </row>
    <row r="68" spans="4:11">
      <c r="D68" s="94" t="s">
        <v>30</v>
      </c>
      <c r="E68" t="s">
        <v>26</v>
      </c>
      <c r="F68" t="s">
        <v>40</v>
      </c>
      <c r="G68" s="79">
        <f t="shared" si="2"/>
        <v>1.45</v>
      </c>
      <c r="H68" s="79">
        <f t="shared" si="3"/>
        <v>1.45</v>
      </c>
      <c r="I68" s="79">
        <v>1.4</v>
      </c>
      <c r="J68" s="79">
        <v>1.5</v>
      </c>
      <c r="K68" s="105"/>
    </row>
    <row r="70" spans="4:11">
      <c r="D70" s="94" t="s">
        <v>55</v>
      </c>
      <c r="E70" t="s">
        <v>26</v>
      </c>
      <c r="F70" t="s">
        <v>58</v>
      </c>
      <c r="G70" s="79">
        <f t="shared" si="2"/>
        <v>1.125</v>
      </c>
      <c r="H70" s="79">
        <f t="shared" si="3"/>
        <v>1.125</v>
      </c>
      <c r="I70" s="79">
        <v>0.75</v>
      </c>
      <c r="J70" s="79">
        <v>1.5</v>
      </c>
      <c r="K70" s="105"/>
    </row>
    <row r="71" spans="4:11">
      <c r="D71" s="94" t="s">
        <v>55</v>
      </c>
      <c r="E71" t="s">
        <v>26</v>
      </c>
      <c r="F71" t="s">
        <v>57</v>
      </c>
      <c r="G71" s="79">
        <f t="shared" si="2"/>
        <v>1.25</v>
      </c>
      <c r="H71" s="79">
        <f t="shared" si="3"/>
        <v>1.25</v>
      </c>
      <c r="I71" s="79">
        <v>1.1000000000000001</v>
      </c>
      <c r="J71" s="79">
        <v>1.4</v>
      </c>
      <c r="K71" s="105"/>
    </row>
    <row r="72" spans="4:11">
      <c r="D72" s="94" t="s">
        <v>55</v>
      </c>
      <c r="E72" t="s">
        <v>26</v>
      </c>
      <c r="F72" t="s">
        <v>62</v>
      </c>
      <c r="G72" s="79">
        <f t="shared" si="2"/>
        <v>1.4750000000000001</v>
      </c>
      <c r="H72" s="79">
        <f t="shared" si="3"/>
        <v>1.4750000000000001</v>
      </c>
      <c r="I72" s="79">
        <v>1.25</v>
      </c>
      <c r="J72" s="79">
        <v>1.7</v>
      </c>
      <c r="K72" s="105"/>
    </row>
    <row r="73" spans="4:11">
      <c r="D73" s="94" t="s">
        <v>55</v>
      </c>
      <c r="E73" t="s">
        <v>26</v>
      </c>
      <c r="F73" t="s">
        <v>67</v>
      </c>
      <c r="G73" s="79">
        <f t="shared" si="2"/>
        <v>1.3</v>
      </c>
      <c r="H73" s="79">
        <f t="shared" si="3"/>
        <v>1.3</v>
      </c>
      <c r="I73" s="79"/>
      <c r="J73" s="79">
        <v>1.3</v>
      </c>
      <c r="K73" s="105"/>
    </row>
    <row r="74" spans="4:11">
      <c r="D74" s="94" t="s">
        <v>55</v>
      </c>
      <c r="E74" t="s">
        <v>26</v>
      </c>
      <c r="F74" t="s">
        <v>68</v>
      </c>
      <c r="G74" s="79">
        <f t="shared" si="2"/>
        <v>2</v>
      </c>
      <c r="H74" s="79">
        <f t="shared" si="3"/>
        <v>2</v>
      </c>
      <c r="I74" s="79"/>
      <c r="J74" s="79"/>
      <c r="K74" s="105">
        <v>2</v>
      </c>
    </row>
    <row r="75" spans="4:11">
      <c r="D75" s="94" t="s">
        <v>21</v>
      </c>
      <c r="E75" t="s">
        <v>26</v>
      </c>
      <c r="F75" t="s">
        <v>35</v>
      </c>
      <c r="G75" s="79">
        <f t="shared" si="2"/>
        <v>2</v>
      </c>
      <c r="H75" s="79">
        <f t="shared" si="3"/>
        <v>2</v>
      </c>
      <c r="I75" s="79"/>
      <c r="J75" s="79"/>
      <c r="K75" s="105">
        <v>2</v>
      </c>
    </row>
    <row r="76" spans="4:11">
      <c r="G76" s="79"/>
      <c r="H76" s="79"/>
      <c r="I76" s="79"/>
      <c r="J76" s="79"/>
      <c r="K76" s="79"/>
    </row>
    <row r="77" spans="4:11">
      <c r="D77" s="94" t="s">
        <v>46</v>
      </c>
      <c r="E77" t="s">
        <v>33</v>
      </c>
      <c r="F77" t="s">
        <v>100</v>
      </c>
      <c r="G77" s="79">
        <f t="shared" ref="G77:G83" si="4">H77*(1+$E$1)</f>
        <v>2.6633333333333336</v>
      </c>
      <c r="H77" s="79">
        <f t="shared" ref="H77:H83" si="5">AVERAGE(I77:K77)</f>
        <v>2.6633333333333336</v>
      </c>
      <c r="I77" s="79">
        <v>2.5</v>
      </c>
      <c r="J77" s="79">
        <v>2.99</v>
      </c>
      <c r="K77" s="95">
        <v>2.5</v>
      </c>
    </row>
    <row r="78" spans="4:11">
      <c r="D78" s="94" t="s">
        <v>79</v>
      </c>
      <c r="E78" t="s">
        <v>33</v>
      </c>
      <c r="F78" t="s">
        <v>97</v>
      </c>
      <c r="G78" s="79">
        <f t="shared" si="4"/>
        <v>1.1499999999999999</v>
      </c>
      <c r="H78" s="79">
        <f t="shared" si="5"/>
        <v>1.1499999999999999</v>
      </c>
      <c r="I78" s="79">
        <v>1.3</v>
      </c>
      <c r="J78" s="79">
        <v>1</v>
      </c>
      <c r="K78" s="95"/>
    </row>
    <row r="79" spans="4:11">
      <c r="D79" s="94" t="s">
        <v>46</v>
      </c>
      <c r="E79" t="s">
        <v>33</v>
      </c>
      <c r="F79" t="s">
        <v>99</v>
      </c>
      <c r="G79" s="79">
        <f t="shared" si="4"/>
        <v>1.2</v>
      </c>
      <c r="H79" s="79">
        <f t="shared" si="5"/>
        <v>1.2</v>
      </c>
      <c r="I79" s="79"/>
      <c r="J79" s="79"/>
      <c r="K79" s="95">
        <v>1.2</v>
      </c>
    </row>
    <row r="80" spans="4:11">
      <c r="D80" s="94" t="s">
        <v>76</v>
      </c>
      <c r="E80" t="s">
        <v>33</v>
      </c>
      <c r="F80" t="s">
        <v>96</v>
      </c>
      <c r="G80" s="79">
        <f t="shared" si="4"/>
        <v>1.1000000000000001</v>
      </c>
      <c r="H80" s="79">
        <f t="shared" si="5"/>
        <v>1.1000000000000001</v>
      </c>
      <c r="I80" s="79"/>
      <c r="J80" s="79">
        <v>1.1000000000000001</v>
      </c>
      <c r="K80" s="95"/>
    </row>
    <row r="81" spans="4:11">
      <c r="D81" s="94" t="s">
        <v>76</v>
      </c>
      <c r="E81" t="s">
        <v>33</v>
      </c>
      <c r="F81" t="s">
        <v>95</v>
      </c>
      <c r="G81" s="79">
        <f t="shared" si="4"/>
        <v>1.2</v>
      </c>
      <c r="H81" s="79">
        <f t="shared" si="5"/>
        <v>1.2</v>
      </c>
      <c r="I81" s="79"/>
      <c r="J81" s="79"/>
      <c r="K81" s="95">
        <v>1.2</v>
      </c>
    </row>
    <row r="82" spans="4:11">
      <c r="D82" s="94" t="s">
        <v>30</v>
      </c>
      <c r="E82" t="s">
        <v>33</v>
      </c>
      <c r="F82" t="s">
        <v>39</v>
      </c>
      <c r="G82" s="79">
        <f t="shared" si="4"/>
        <v>1.5</v>
      </c>
      <c r="H82" s="79">
        <f t="shared" si="5"/>
        <v>1.5</v>
      </c>
      <c r="I82" s="79"/>
      <c r="J82" s="79"/>
      <c r="K82" s="95">
        <v>1.5</v>
      </c>
    </row>
    <row r="83" spans="4:11">
      <c r="D83" s="94" t="s">
        <v>55</v>
      </c>
      <c r="E83" t="s">
        <v>33</v>
      </c>
      <c r="F83" t="s">
        <v>69</v>
      </c>
      <c r="G83" s="79">
        <f t="shared" si="4"/>
        <v>1.3</v>
      </c>
      <c r="H83" s="79">
        <f t="shared" si="5"/>
        <v>1.3</v>
      </c>
      <c r="I83" s="79">
        <v>1.3</v>
      </c>
      <c r="J83" s="79"/>
      <c r="K83" s="95"/>
    </row>
    <row r="84" spans="4:11">
      <c r="D84" s="94" t="s">
        <v>55</v>
      </c>
      <c r="E84" t="s">
        <v>33</v>
      </c>
      <c r="F84" t="s">
        <v>61</v>
      </c>
      <c r="G84" s="79">
        <f>H84*(1+$E$1)</f>
        <v>1</v>
      </c>
      <c r="H84" s="79">
        <f>AVERAGE(I84:K84)</f>
        <v>1</v>
      </c>
      <c r="I84" s="79"/>
      <c r="J84" s="79">
        <v>1</v>
      </c>
      <c r="K84" s="95"/>
    </row>
    <row r="85" spans="4:11">
      <c r="D85" s="96" t="s">
        <v>55</v>
      </c>
      <c r="E85" s="97" t="s">
        <v>33</v>
      </c>
      <c r="F85" s="97" t="s">
        <v>75</v>
      </c>
      <c r="G85" s="98">
        <f t="shared" ref="G85" si="6">H85*(1+$E$1)</f>
        <v>1.05</v>
      </c>
      <c r="H85" s="98">
        <f t="shared" ref="H85" si="7">AVERAGE(I85:K85)</f>
        <v>1.05</v>
      </c>
      <c r="I85" s="98">
        <v>1.1000000000000001</v>
      </c>
      <c r="J85" s="98">
        <v>1</v>
      </c>
      <c r="K85" s="99"/>
    </row>
    <row r="86" spans="4:11">
      <c r="G86" s="79"/>
      <c r="H86" s="79"/>
      <c r="I86" s="79"/>
      <c r="J86" s="79"/>
      <c r="K86" s="79"/>
    </row>
    <row r="87" spans="4:11">
      <c r="D87" s="94" t="s">
        <v>46</v>
      </c>
      <c r="E87" t="s">
        <v>187</v>
      </c>
      <c r="F87" t="s">
        <v>105</v>
      </c>
      <c r="G87" s="79">
        <f t="shared" ref="G87:G99" si="8">H87*(1+$E$1)</f>
        <v>1.3</v>
      </c>
      <c r="H87" s="79">
        <f t="shared" ref="H87:H99" si="9">AVERAGE(I87:K87)</f>
        <v>1.3</v>
      </c>
      <c r="I87" s="79">
        <v>1.3</v>
      </c>
      <c r="J87" s="79"/>
      <c r="K87" s="95"/>
    </row>
    <row r="88" spans="4:11">
      <c r="D88" s="94" t="s">
        <v>76</v>
      </c>
      <c r="E88" t="s">
        <v>187</v>
      </c>
      <c r="F88" t="s">
        <v>103</v>
      </c>
      <c r="G88" s="79">
        <f t="shared" si="8"/>
        <v>1.2</v>
      </c>
      <c r="H88" s="79">
        <f t="shared" si="9"/>
        <v>1.2</v>
      </c>
      <c r="I88" s="79">
        <v>1.2</v>
      </c>
      <c r="J88" s="79"/>
      <c r="K88" s="95"/>
    </row>
    <row r="89" spans="4:11">
      <c r="D89" s="94" t="s">
        <v>46</v>
      </c>
      <c r="E89" t="s">
        <v>187</v>
      </c>
      <c r="F89" t="s">
        <v>106</v>
      </c>
      <c r="G89" s="79">
        <f t="shared" si="8"/>
        <v>1.6</v>
      </c>
      <c r="H89" s="79">
        <f t="shared" si="9"/>
        <v>1.6</v>
      </c>
      <c r="I89" s="79">
        <v>1.6</v>
      </c>
      <c r="J89" s="79"/>
      <c r="K89" s="95"/>
    </row>
    <row r="90" spans="4:11">
      <c r="D90" s="94" t="s">
        <v>46</v>
      </c>
      <c r="E90" t="s">
        <v>187</v>
      </c>
      <c r="F90" t="s">
        <v>108</v>
      </c>
      <c r="G90" s="79">
        <f t="shared" si="8"/>
        <v>1.05</v>
      </c>
      <c r="H90" s="79">
        <f t="shared" si="9"/>
        <v>1.05</v>
      </c>
      <c r="I90" s="79">
        <v>1.3</v>
      </c>
      <c r="J90" s="79">
        <v>0.8</v>
      </c>
      <c r="K90" s="95"/>
    </row>
    <row r="91" spans="4:11">
      <c r="D91" s="94" t="s">
        <v>79</v>
      </c>
      <c r="E91" t="s">
        <v>187</v>
      </c>
      <c r="F91" t="s">
        <v>104</v>
      </c>
      <c r="G91" s="79">
        <f t="shared" si="8"/>
        <v>1.45</v>
      </c>
      <c r="H91" s="79">
        <f t="shared" si="9"/>
        <v>1.45</v>
      </c>
      <c r="I91" s="79">
        <v>1.4</v>
      </c>
      <c r="J91" s="79">
        <v>1.5</v>
      </c>
      <c r="K91" s="95"/>
    </row>
    <row r="92" spans="4:11">
      <c r="D92" s="94" t="s">
        <v>46</v>
      </c>
      <c r="E92" t="s">
        <v>187</v>
      </c>
      <c r="F92" t="s">
        <v>110</v>
      </c>
      <c r="G92" s="79">
        <f t="shared" si="8"/>
        <v>0.75</v>
      </c>
      <c r="H92" s="79">
        <f t="shared" si="9"/>
        <v>0.75</v>
      </c>
      <c r="I92" s="79"/>
      <c r="J92" s="79"/>
      <c r="K92" s="95">
        <v>0.75</v>
      </c>
    </row>
    <row r="93" spans="4:11">
      <c r="D93" s="94" t="s">
        <v>46</v>
      </c>
      <c r="E93" t="s">
        <v>187</v>
      </c>
      <c r="F93" t="s">
        <v>109</v>
      </c>
      <c r="G93" s="79">
        <f t="shared" si="8"/>
        <v>1.1000000000000001</v>
      </c>
      <c r="H93" s="79">
        <f t="shared" si="9"/>
        <v>1.1000000000000001</v>
      </c>
      <c r="I93" s="79">
        <v>1.1000000000000001</v>
      </c>
      <c r="J93" s="79">
        <v>1.1000000000000001</v>
      </c>
      <c r="K93" s="95"/>
    </row>
    <row r="94" spans="4:11">
      <c r="D94" s="94" t="s">
        <v>55</v>
      </c>
      <c r="E94" t="s">
        <v>187</v>
      </c>
      <c r="F94" t="s">
        <v>60</v>
      </c>
      <c r="G94" s="79">
        <f t="shared" si="8"/>
        <v>0.75</v>
      </c>
      <c r="H94" s="79">
        <f t="shared" si="9"/>
        <v>0.75</v>
      </c>
      <c r="I94" s="79">
        <v>0.75</v>
      </c>
      <c r="J94" s="79"/>
      <c r="K94" s="95"/>
    </row>
    <row r="95" spans="4:11">
      <c r="D95" s="94" t="s">
        <v>55</v>
      </c>
      <c r="E95" t="s">
        <v>187</v>
      </c>
      <c r="F95" t="s">
        <v>65</v>
      </c>
      <c r="G95" s="79">
        <f t="shared" si="8"/>
        <v>1.1299999999999999</v>
      </c>
      <c r="H95" s="79">
        <f t="shared" si="9"/>
        <v>1.1299999999999999</v>
      </c>
      <c r="I95" s="79">
        <v>1.1299999999999999</v>
      </c>
      <c r="J95" s="79"/>
      <c r="K95" s="95"/>
    </row>
    <row r="96" spans="4:11">
      <c r="D96" s="94" t="s">
        <v>30</v>
      </c>
      <c r="E96" t="s">
        <v>187</v>
      </c>
      <c r="F96" t="s">
        <v>44</v>
      </c>
      <c r="G96" s="79">
        <f t="shared" si="8"/>
        <v>1.25</v>
      </c>
      <c r="H96" s="79">
        <f t="shared" si="9"/>
        <v>1.25</v>
      </c>
      <c r="I96" s="79"/>
      <c r="J96" s="79"/>
      <c r="K96" s="95">
        <v>1.25</v>
      </c>
    </row>
    <row r="97" spans="4:11">
      <c r="D97" s="94" t="s">
        <v>30</v>
      </c>
      <c r="E97" t="s">
        <v>187</v>
      </c>
      <c r="F97" t="s">
        <v>45</v>
      </c>
      <c r="G97" s="79">
        <f t="shared" si="8"/>
        <v>1.8</v>
      </c>
      <c r="H97" s="79">
        <f t="shared" si="9"/>
        <v>1.8</v>
      </c>
      <c r="I97" s="79"/>
      <c r="J97" s="79">
        <v>1.8</v>
      </c>
      <c r="K97" s="95"/>
    </row>
    <row r="98" spans="4:11">
      <c r="D98" s="94" t="s">
        <v>30</v>
      </c>
      <c r="E98" t="s">
        <v>187</v>
      </c>
      <c r="F98" t="s">
        <v>43</v>
      </c>
      <c r="G98" s="79">
        <f t="shared" si="8"/>
        <v>1.1499999999999999</v>
      </c>
      <c r="H98" s="79">
        <f t="shared" si="9"/>
        <v>1.1499999999999999</v>
      </c>
      <c r="I98" s="79">
        <v>1.1000000000000001</v>
      </c>
      <c r="J98" s="79">
        <v>1.2</v>
      </c>
      <c r="K98" s="95"/>
    </row>
    <row r="99" spans="4:11">
      <c r="D99" s="96" t="s">
        <v>30</v>
      </c>
      <c r="E99" s="97" t="s">
        <v>187</v>
      </c>
      <c r="F99" s="97" t="s">
        <v>42</v>
      </c>
      <c r="G99" s="98">
        <f t="shared" si="8"/>
        <v>1</v>
      </c>
      <c r="H99" s="98">
        <f t="shared" si="9"/>
        <v>1</v>
      </c>
      <c r="I99" s="98"/>
      <c r="J99" s="98"/>
      <c r="K99" s="99">
        <v>1</v>
      </c>
    </row>
    <row r="100" spans="4:11">
      <c r="G100" s="79"/>
      <c r="H100" s="79"/>
      <c r="I100" s="79"/>
      <c r="J100" s="79"/>
      <c r="K100" s="79"/>
    </row>
    <row r="101" spans="4:11">
      <c r="D101" s="94" t="s">
        <v>46</v>
      </c>
      <c r="E101" t="s">
        <v>49</v>
      </c>
      <c r="F101" t="s">
        <v>129</v>
      </c>
      <c r="G101" s="79">
        <f>H101*(1+$E$1)</f>
        <v>1</v>
      </c>
      <c r="H101" s="79">
        <f t="shared" ref="H101:H103" si="10">AVERAGE(I101:K101)</f>
        <v>1</v>
      </c>
      <c r="I101" s="79"/>
      <c r="J101" s="79"/>
      <c r="K101" s="95">
        <v>1</v>
      </c>
    </row>
    <row r="102" spans="4:11">
      <c r="D102" s="94" t="s">
        <v>76</v>
      </c>
      <c r="E102" t="s">
        <v>49</v>
      </c>
      <c r="F102" t="s">
        <v>95</v>
      </c>
      <c r="G102" s="79">
        <f t="shared" ref="G102:G103" si="11">H102*(1+$E$1)</f>
        <v>1.2</v>
      </c>
      <c r="H102" s="79">
        <f t="shared" si="10"/>
        <v>1.2</v>
      </c>
      <c r="I102" s="79"/>
      <c r="J102" s="79"/>
      <c r="K102" s="95">
        <v>1.2</v>
      </c>
    </row>
    <row r="103" spans="4:11">
      <c r="D103" s="94" t="s">
        <v>46</v>
      </c>
      <c r="E103" t="s">
        <v>49</v>
      </c>
      <c r="F103" t="s">
        <v>127</v>
      </c>
      <c r="G103" s="79">
        <f t="shared" si="11"/>
        <v>1.2</v>
      </c>
      <c r="H103" s="79">
        <f t="shared" si="10"/>
        <v>1.2</v>
      </c>
      <c r="I103" s="79">
        <v>1.2</v>
      </c>
      <c r="J103" s="79"/>
      <c r="K103" s="95"/>
    </row>
    <row r="104" spans="4:11">
      <c r="D104" s="94" t="s">
        <v>46</v>
      </c>
      <c r="E104" t="s">
        <v>49</v>
      </c>
      <c r="F104" t="s">
        <v>107</v>
      </c>
      <c r="G104" s="79">
        <f>H104*(1+$E$1)</f>
        <v>1.3</v>
      </c>
      <c r="H104" s="79">
        <f>AVERAGE(I104:K104)</f>
        <v>1.3</v>
      </c>
      <c r="I104" s="79">
        <v>1.3</v>
      </c>
      <c r="J104" s="79"/>
      <c r="K104" s="95"/>
    </row>
    <row r="105" spans="4:11">
      <c r="D105" s="94" t="s">
        <v>116</v>
      </c>
      <c r="E105" t="s">
        <v>49</v>
      </c>
      <c r="F105" t="s">
        <v>117</v>
      </c>
      <c r="G105" s="79">
        <f>H105*(1+$E$1)</f>
        <v>1.075</v>
      </c>
      <c r="H105" s="79">
        <f>AVERAGE(I105:K105)</f>
        <v>1.075</v>
      </c>
      <c r="I105" s="79">
        <v>1.25</v>
      </c>
      <c r="J105" s="79">
        <v>0.9</v>
      </c>
      <c r="K105" s="95"/>
    </row>
    <row r="106" spans="4:11">
      <c r="D106" s="94" t="s">
        <v>55</v>
      </c>
      <c r="E106" t="s">
        <v>49</v>
      </c>
      <c r="F106" t="s">
        <v>56</v>
      </c>
      <c r="G106" s="79">
        <f t="shared" ref="G106:G108" si="12">H106*(1+$E$1)</f>
        <v>1.75</v>
      </c>
      <c r="H106" s="79">
        <f t="shared" ref="H106:H108" si="13">AVERAGE(I106:K106)</f>
        <v>1.75</v>
      </c>
      <c r="I106" s="79"/>
      <c r="J106" s="79"/>
      <c r="K106" s="105">
        <v>1.75</v>
      </c>
    </row>
    <row r="107" spans="4:11">
      <c r="D107" s="94" t="s">
        <v>55</v>
      </c>
      <c r="E107" t="s">
        <v>49</v>
      </c>
      <c r="F107" t="s">
        <v>63</v>
      </c>
      <c r="G107" s="79">
        <f t="shared" si="12"/>
        <v>1.2000000000000002</v>
      </c>
      <c r="H107" s="79">
        <f t="shared" si="13"/>
        <v>1.2000000000000002</v>
      </c>
      <c r="I107" s="79">
        <v>1.1000000000000001</v>
      </c>
      <c r="J107" s="79">
        <v>1.3</v>
      </c>
      <c r="K107" s="95"/>
    </row>
    <row r="108" spans="4:11">
      <c r="D108" s="96" t="s">
        <v>55</v>
      </c>
      <c r="E108" s="97" t="s">
        <v>49</v>
      </c>
      <c r="F108" s="97" t="s">
        <v>39</v>
      </c>
      <c r="G108" s="79">
        <f t="shared" si="12"/>
        <v>2</v>
      </c>
      <c r="H108" s="98">
        <f t="shared" si="13"/>
        <v>2</v>
      </c>
      <c r="I108" s="98">
        <v>2</v>
      </c>
      <c r="J108" s="98"/>
      <c r="K108" s="99"/>
    </row>
    <row r="109" spans="4:11">
      <c r="G109" s="79"/>
      <c r="H109" s="79"/>
      <c r="I109" s="79"/>
      <c r="J109" s="79"/>
      <c r="K109" s="79"/>
    </row>
    <row r="110" spans="4:11">
      <c r="D110" s="94" t="s">
        <v>46</v>
      </c>
      <c r="E110" t="s">
        <v>51</v>
      </c>
      <c r="F110" t="s">
        <v>139</v>
      </c>
      <c r="G110" s="79">
        <f t="shared" ref="G110:G113" si="14">H110*(1+$E$1)</f>
        <v>1.75</v>
      </c>
      <c r="H110" s="79">
        <f t="shared" ref="H110:H113" si="15">AVERAGE(I110:K110)</f>
        <v>1.75</v>
      </c>
      <c r="I110" s="79"/>
      <c r="J110" s="79"/>
      <c r="K110" s="95">
        <v>1.75</v>
      </c>
    </row>
    <row r="111" spans="4:11" ht="19">
      <c r="D111" s="94" t="s">
        <v>46</v>
      </c>
      <c r="E111" t="s">
        <v>51</v>
      </c>
      <c r="F111" t="s">
        <v>140</v>
      </c>
      <c r="G111" s="79">
        <f t="shared" si="14"/>
        <v>1.4</v>
      </c>
      <c r="H111" s="79">
        <f t="shared" si="15"/>
        <v>1.4</v>
      </c>
      <c r="I111" s="83"/>
      <c r="J111" s="83"/>
      <c r="K111" s="95">
        <v>1.4</v>
      </c>
    </row>
    <row r="112" spans="4:11">
      <c r="D112" s="94" t="s">
        <v>46</v>
      </c>
      <c r="E112" t="s">
        <v>51</v>
      </c>
      <c r="F112" t="s">
        <v>138</v>
      </c>
      <c r="G112" s="79">
        <f t="shared" si="14"/>
        <v>1.4</v>
      </c>
      <c r="H112" s="79">
        <f t="shared" si="15"/>
        <v>1.4</v>
      </c>
      <c r="I112" s="79">
        <v>1.5</v>
      </c>
      <c r="J112" s="79">
        <v>1.3</v>
      </c>
      <c r="K112" s="95"/>
    </row>
    <row r="113" spans="4:17">
      <c r="D113" s="94" t="s">
        <v>46</v>
      </c>
      <c r="E113" t="s">
        <v>51</v>
      </c>
      <c r="F113" t="s">
        <v>136</v>
      </c>
      <c r="G113" s="79">
        <f t="shared" si="14"/>
        <v>1.4</v>
      </c>
      <c r="H113" s="79">
        <f t="shared" si="15"/>
        <v>1.4</v>
      </c>
      <c r="I113" s="79">
        <f>14/10</f>
        <v>1.4</v>
      </c>
      <c r="J113" s="79"/>
      <c r="K113" s="95"/>
    </row>
    <row r="114" spans="4:17">
      <c r="D114" s="94" t="s">
        <v>79</v>
      </c>
      <c r="E114" t="s">
        <v>51</v>
      </c>
      <c r="F114" t="s">
        <v>132</v>
      </c>
      <c r="G114" s="79">
        <f>H114*(1+$E$1)</f>
        <v>1.875</v>
      </c>
      <c r="H114" s="79">
        <f>AVERAGE(I114:K114)</f>
        <v>1.875</v>
      </c>
      <c r="I114" s="79">
        <f>22.5/10</f>
        <v>2.25</v>
      </c>
      <c r="J114" s="79"/>
      <c r="K114" s="95">
        <v>1.5</v>
      </c>
    </row>
    <row r="115" spans="4:17">
      <c r="D115" s="94" t="s">
        <v>79</v>
      </c>
      <c r="E115" t="s">
        <v>51</v>
      </c>
      <c r="F115" t="s">
        <v>133</v>
      </c>
      <c r="G115" s="79">
        <f>H115*(1+$E$1)</f>
        <v>1.5</v>
      </c>
      <c r="H115" s="79">
        <f>AVERAGE(I115:K115)</f>
        <v>1.5</v>
      </c>
      <c r="I115" s="79">
        <v>1.5</v>
      </c>
      <c r="J115" s="79"/>
      <c r="K115" s="95"/>
    </row>
    <row r="116" spans="4:17">
      <c r="D116" s="94" t="s">
        <v>79</v>
      </c>
      <c r="E116" t="s">
        <v>51</v>
      </c>
      <c r="F116" t="s">
        <v>134</v>
      </c>
      <c r="G116" s="79">
        <f>H116*(1+$E$1)</f>
        <v>1.1000000000000001</v>
      </c>
      <c r="H116" s="79">
        <f>AVERAGE(I116:K116)</f>
        <v>1.1000000000000001</v>
      </c>
      <c r="I116" s="79"/>
      <c r="J116" s="79">
        <v>1.1000000000000001</v>
      </c>
      <c r="K116" s="95"/>
    </row>
    <row r="117" spans="4:17">
      <c r="D117" s="94" t="s">
        <v>114</v>
      </c>
      <c r="E117" t="s">
        <v>51</v>
      </c>
      <c r="F117" t="s">
        <v>115</v>
      </c>
      <c r="G117" s="79">
        <f>H117*(1+$E$1)</f>
        <v>1.25</v>
      </c>
      <c r="H117" s="79">
        <f>AVERAGE(I117:K117)</f>
        <v>1.25</v>
      </c>
      <c r="I117" s="79">
        <v>1.25</v>
      </c>
      <c r="J117" s="79"/>
      <c r="K117" s="95"/>
    </row>
    <row r="118" spans="4:17">
      <c r="D118" s="94" t="s">
        <v>116</v>
      </c>
      <c r="E118" t="s">
        <v>51</v>
      </c>
      <c r="F118" t="s">
        <v>137</v>
      </c>
      <c r="G118" s="79">
        <f t="shared" ref="G118:G122" si="16">H118*(1+$E$1)</f>
        <v>1.3</v>
      </c>
      <c r="H118" s="79">
        <f t="shared" ref="H118:H122" si="17">AVERAGE(I118:K118)</f>
        <v>1.3</v>
      </c>
      <c r="I118" s="79">
        <v>1.3</v>
      </c>
      <c r="J118" s="79"/>
      <c r="K118" s="95"/>
    </row>
    <row r="119" spans="4:17">
      <c r="D119" s="94" t="s">
        <v>55</v>
      </c>
      <c r="E119" t="s">
        <v>51</v>
      </c>
      <c r="F119" t="s">
        <v>59</v>
      </c>
      <c r="G119" s="79">
        <f t="shared" si="16"/>
        <v>1.1000000000000001</v>
      </c>
      <c r="H119" s="79">
        <f t="shared" si="17"/>
        <v>1.1000000000000001</v>
      </c>
      <c r="I119" s="82"/>
      <c r="J119" s="79">
        <v>1.1000000000000001</v>
      </c>
      <c r="K119" s="95"/>
    </row>
    <row r="120" spans="4:17">
      <c r="D120" s="94" t="s">
        <v>21</v>
      </c>
      <c r="E120" t="s">
        <v>51</v>
      </c>
      <c r="F120" t="s">
        <v>52</v>
      </c>
      <c r="G120" s="79">
        <f t="shared" si="16"/>
        <v>1.1000000000000001</v>
      </c>
      <c r="H120" s="79">
        <f t="shared" si="17"/>
        <v>1.1000000000000001</v>
      </c>
      <c r="I120" s="82"/>
      <c r="J120" s="79"/>
      <c r="K120" s="95">
        <v>1.1000000000000001</v>
      </c>
      <c r="M120" s="91" t="s">
        <v>142</v>
      </c>
      <c r="N120" s="91" t="s">
        <v>147</v>
      </c>
      <c r="O120" s="91" t="s">
        <v>555</v>
      </c>
      <c r="P120" s="93">
        <f>AVERAGE(G118:G122)</f>
        <v>1.2200000000000002</v>
      </c>
      <c r="Q120" s="93">
        <f>AVERAGE(H118:H122)</f>
        <v>1.2200000000000002</v>
      </c>
    </row>
    <row r="121" spans="4:17">
      <c r="D121" s="94" t="s">
        <v>30</v>
      </c>
      <c r="E121" t="s">
        <v>51</v>
      </c>
      <c r="F121" t="s">
        <v>53</v>
      </c>
      <c r="G121" s="79">
        <f t="shared" si="16"/>
        <v>1.1000000000000001</v>
      </c>
      <c r="H121" s="79">
        <f t="shared" si="17"/>
        <v>1.1000000000000001</v>
      </c>
      <c r="I121" s="79">
        <v>1.1000000000000001</v>
      </c>
      <c r="J121" s="79"/>
      <c r="K121" s="105"/>
      <c r="M121" s="91" t="s">
        <v>556</v>
      </c>
      <c r="N121" s="91" t="s">
        <v>147</v>
      </c>
      <c r="O121" s="91" t="s">
        <v>555</v>
      </c>
      <c r="P121" s="93">
        <f>AVERAGE(G122:G122)</f>
        <v>1.5</v>
      </c>
      <c r="Q121" s="93">
        <f>AVERAGE(H122:H122)</f>
        <v>1.5</v>
      </c>
    </row>
    <row r="122" spans="4:17">
      <c r="D122" s="96" t="s">
        <v>55</v>
      </c>
      <c r="E122" s="97" t="s">
        <v>51</v>
      </c>
      <c r="F122" s="97" t="s">
        <v>64</v>
      </c>
      <c r="G122" s="98">
        <f t="shared" si="16"/>
        <v>1.5</v>
      </c>
      <c r="H122" s="98">
        <f t="shared" si="17"/>
        <v>1.5</v>
      </c>
      <c r="I122" s="98">
        <v>1.5</v>
      </c>
      <c r="J122" s="98"/>
      <c r="K122" s="99"/>
    </row>
  </sheetData>
  <mergeCells count="6">
    <mergeCell ref="B4:B9"/>
    <mergeCell ref="A4:A9"/>
    <mergeCell ref="A11:A16"/>
    <mergeCell ref="B11:B16"/>
    <mergeCell ref="A18:A23"/>
    <mergeCell ref="B18:B23"/>
  </mergeCells>
  <phoneticPr fontId="1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3B61-CEC8-4754-AF54-CEC4F304B364}">
  <sheetPr codeName="Sheet6"/>
  <dimension ref="B2:AB56"/>
  <sheetViews>
    <sheetView workbookViewId="0">
      <selection activeCell="F23" sqref="F23"/>
    </sheetView>
  </sheetViews>
  <sheetFormatPr baseColWidth="10" defaultColWidth="8.83203125" defaultRowHeight="16"/>
  <cols>
    <col min="2" max="2" width="19.1640625" customWidth="1"/>
    <col min="3" max="3" width="16.1640625" customWidth="1"/>
    <col min="4" max="4" width="23.33203125" customWidth="1"/>
    <col min="5" max="28" width="9" bestFit="1" customWidth="1"/>
  </cols>
  <sheetData>
    <row r="2" spans="2:28" s="76" customFormat="1">
      <c r="B2" s="76" t="s">
        <v>563</v>
      </c>
      <c r="C2" s="144" t="s">
        <v>564</v>
      </c>
      <c r="D2" s="143" t="s">
        <v>565</v>
      </c>
      <c r="E2" s="263" t="s">
        <v>566</v>
      </c>
      <c r="F2" s="263"/>
      <c r="G2" s="263"/>
      <c r="H2" s="264" t="s">
        <v>567</v>
      </c>
      <c r="I2" s="264"/>
      <c r="J2" s="264"/>
      <c r="K2" s="265" t="s">
        <v>568</v>
      </c>
      <c r="L2" s="265"/>
      <c r="M2" s="265"/>
      <c r="N2" s="266" t="s">
        <v>569</v>
      </c>
      <c r="O2" s="266"/>
      <c r="P2" s="266"/>
      <c r="Q2" s="267" t="s">
        <v>570</v>
      </c>
      <c r="R2" s="267"/>
      <c r="S2" s="267"/>
      <c r="T2" s="268" t="s">
        <v>571</v>
      </c>
      <c r="U2" s="268"/>
      <c r="V2" s="268"/>
      <c r="W2" s="269" t="s">
        <v>572</v>
      </c>
      <c r="X2" s="269"/>
      <c r="Y2" s="269"/>
      <c r="Z2" s="259" t="s">
        <v>573</v>
      </c>
      <c r="AA2" s="259"/>
      <c r="AB2" s="260"/>
    </row>
    <row r="3" spans="2:28">
      <c r="C3" s="145" t="s">
        <v>574</v>
      </c>
      <c r="D3" s="261" t="s">
        <v>306</v>
      </c>
      <c r="AB3" s="115"/>
    </row>
    <row r="4" spans="2:28">
      <c r="C4" s="146" t="s">
        <v>575</v>
      </c>
      <c r="D4" s="261"/>
      <c r="AB4" s="115"/>
    </row>
    <row r="5" spans="2:28">
      <c r="C5" s="148" t="s">
        <v>576</v>
      </c>
      <c r="D5" s="262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142"/>
    </row>
    <row r="6" spans="2:28">
      <c r="C6" s="145" t="s">
        <v>574</v>
      </c>
      <c r="D6" s="261" t="s">
        <v>306</v>
      </c>
      <c r="AB6" s="115"/>
    </row>
    <row r="7" spans="2:28">
      <c r="C7" s="146" t="s">
        <v>575</v>
      </c>
      <c r="D7" s="261"/>
      <c r="AB7" s="115"/>
    </row>
    <row r="8" spans="2:28">
      <c r="C8" s="148" t="s">
        <v>576</v>
      </c>
      <c r="D8" s="262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142"/>
    </row>
    <row r="9" spans="2:28">
      <c r="C9" s="145" t="s">
        <v>574</v>
      </c>
      <c r="D9" s="261" t="s">
        <v>306</v>
      </c>
      <c r="AB9" s="115"/>
    </row>
    <row r="10" spans="2:28">
      <c r="C10" s="146" t="s">
        <v>575</v>
      </c>
      <c r="D10" s="261"/>
      <c r="AB10" s="115"/>
    </row>
    <row r="11" spans="2:28">
      <c r="C11" s="147" t="s">
        <v>576</v>
      </c>
      <c r="D11" s="261"/>
      <c r="AB11" s="115"/>
    </row>
    <row r="12" spans="2:28">
      <c r="C12" s="145" t="s">
        <v>574</v>
      </c>
      <c r="D12" s="261" t="s">
        <v>40</v>
      </c>
      <c r="AB12" s="115"/>
    </row>
    <row r="13" spans="2:28">
      <c r="C13" s="146" t="s">
        <v>575</v>
      </c>
      <c r="D13" s="261"/>
      <c r="AB13" s="115"/>
    </row>
    <row r="14" spans="2:28">
      <c r="C14" s="147" t="s">
        <v>576</v>
      </c>
      <c r="D14" s="261"/>
      <c r="AB14" s="115"/>
    </row>
    <row r="15" spans="2:28">
      <c r="C15" s="145" t="s">
        <v>574</v>
      </c>
      <c r="D15" s="261" t="s">
        <v>577</v>
      </c>
      <c r="AB15" s="115"/>
    </row>
    <row r="16" spans="2:28">
      <c r="C16" s="146" t="s">
        <v>575</v>
      </c>
      <c r="D16" s="261"/>
      <c r="AB16" s="115"/>
    </row>
    <row r="17" spans="3:28">
      <c r="C17" s="147" t="s">
        <v>576</v>
      </c>
      <c r="D17" s="261"/>
      <c r="AB17" s="115"/>
    </row>
    <row r="18" spans="3:28">
      <c r="C18" s="145" t="s">
        <v>574</v>
      </c>
      <c r="D18" s="261" t="s">
        <v>52</v>
      </c>
      <c r="AB18" s="115"/>
    </row>
    <row r="19" spans="3:28">
      <c r="C19" s="146" t="s">
        <v>575</v>
      </c>
      <c r="D19" s="261"/>
      <c r="AB19" s="115"/>
    </row>
    <row r="20" spans="3:28">
      <c r="C20" s="147" t="s">
        <v>576</v>
      </c>
      <c r="D20" s="261"/>
      <c r="AB20" s="115"/>
    </row>
    <row r="21" spans="3:28">
      <c r="C21" s="145" t="s">
        <v>574</v>
      </c>
      <c r="D21" s="261" t="s">
        <v>32</v>
      </c>
      <c r="AB21" s="115"/>
    </row>
    <row r="22" spans="3:28">
      <c r="C22" s="146" t="s">
        <v>575</v>
      </c>
      <c r="D22" s="261"/>
      <c r="AB22" s="115"/>
    </row>
    <row r="23" spans="3:28">
      <c r="C23" s="147" t="s">
        <v>576</v>
      </c>
      <c r="D23" s="261"/>
      <c r="AB23" s="115"/>
    </row>
    <row r="24" spans="3:28">
      <c r="C24" s="145" t="s">
        <v>574</v>
      </c>
      <c r="D24" s="261" t="s">
        <v>27</v>
      </c>
      <c r="AB24" s="115"/>
    </row>
    <row r="25" spans="3:28">
      <c r="C25" s="146" t="s">
        <v>575</v>
      </c>
      <c r="D25" s="261"/>
      <c r="AB25" s="115"/>
    </row>
    <row r="26" spans="3:28">
      <c r="C26" s="147" t="s">
        <v>576</v>
      </c>
      <c r="D26" s="261"/>
      <c r="AB26" s="115"/>
    </row>
    <row r="27" spans="3:28">
      <c r="C27" s="145" t="s">
        <v>574</v>
      </c>
      <c r="AB27" s="115"/>
    </row>
    <row r="28" spans="3:28">
      <c r="C28" s="146" t="s">
        <v>575</v>
      </c>
      <c r="AB28" s="115"/>
    </row>
    <row r="29" spans="3:28">
      <c r="C29" s="147" t="s">
        <v>576</v>
      </c>
      <c r="AB29" s="115"/>
    </row>
    <row r="30" spans="3:28">
      <c r="C30" s="145" t="s">
        <v>574</v>
      </c>
      <c r="AB30" s="115"/>
    </row>
    <row r="31" spans="3:28">
      <c r="C31" s="146" t="s">
        <v>575</v>
      </c>
      <c r="AB31" s="115"/>
    </row>
    <row r="32" spans="3:28">
      <c r="C32" s="147" t="s">
        <v>576</v>
      </c>
      <c r="AB32" s="115"/>
    </row>
    <row r="33" spans="3:28">
      <c r="C33" s="145" t="s">
        <v>574</v>
      </c>
      <c r="AB33" s="115"/>
    </row>
    <row r="34" spans="3:28">
      <c r="C34" s="146" t="s">
        <v>575</v>
      </c>
      <c r="AB34" s="115"/>
    </row>
    <row r="35" spans="3:28">
      <c r="C35" s="147" t="s">
        <v>576</v>
      </c>
      <c r="AB35" s="115"/>
    </row>
    <row r="36" spans="3:28">
      <c r="C36" s="145" t="s">
        <v>574</v>
      </c>
      <c r="AB36" s="115"/>
    </row>
    <row r="37" spans="3:28">
      <c r="C37" s="146" t="s">
        <v>575</v>
      </c>
      <c r="AB37" s="115"/>
    </row>
    <row r="38" spans="3:28">
      <c r="C38" s="147" t="s">
        <v>576</v>
      </c>
      <c r="AB38" s="115"/>
    </row>
    <row r="39" spans="3:28">
      <c r="C39" s="145" t="s">
        <v>574</v>
      </c>
      <c r="AB39" s="115"/>
    </row>
    <row r="40" spans="3:28">
      <c r="C40" s="146" t="s">
        <v>575</v>
      </c>
      <c r="AB40" s="115"/>
    </row>
    <row r="41" spans="3:28">
      <c r="C41" s="147" t="s">
        <v>576</v>
      </c>
      <c r="AB41" s="115"/>
    </row>
    <row r="42" spans="3:28">
      <c r="C42" s="145" t="s">
        <v>574</v>
      </c>
      <c r="AB42" s="115"/>
    </row>
    <row r="43" spans="3:28">
      <c r="C43" s="146" t="s">
        <v>575</v>
      </c>
      <c r="AB43" s="115"/>
    </row>
    <row r="44" spans="3:28">
      <c r="C44" s="147" t="s">
        <v>576</v>
      </c>
      <c r="AB44" s="115"/>
    </row>
    <row r="45" spans="3:28">
      <c r="C45" s="145" t="s">
        <v>574</v>
      </c>
      <c r="AB45" s="115"/>
    </row>
    <row r="46" spans="3:28">
      <c r="C46" s="146" t="s">
        <v>575</v>
      </c>
      <c r="AB46" s="115"/>
    </row>
    <row r="47" spans="3:28">
      <c r="C47" s="147" t="s">
        <v>576</v>
      </c>
      <c r="AB47" s="115"/>
    </row>
    <row r="48" spans="3:28">
      <c r="C48" s="145" t="s">
        <v>574</v>
      </c>
      <c r="AB48" s="115"/>
    </row>
    <row r="49" spans="3:28">
      <c r="C49" s="146" t="s">
        <v>575</v>
      </c>
      <c r="AB49" s="115"/>
    </row>
    <row r="50" spans="3:28">
      <c r="C50" s="147" t="s">
        <v>576</v>
      </c>
      <c r="AB50" s="115"/>
    </row>
    <row r="51" spans="3:28">
      <c r="C51" s="145" t="s">
        <v>574</v>
      </c>
      <c r="AB51" s="115"/>
    </row>
    <row r="52" spans="3:28">
      <c r="C52" s="146" t="s">
        <v>575</v>
      </c>
      <c r="AB52" s="115"/>
    </row>
    <row r="53" spans="3:28">
      <c r="C53" s="147" t="s">
        <v>576</v>
      </c>
      <c r="AB53" s="115"/>
    </row>
    <row r="54" spans="3:28">
      <c r="C54" s="145" t="s">
        <v>574</v>
      </c>
      <c r="AB54" s="115"/>
    </row>
    <row r="55" spans="3:28">
      <c r="C55" s="146" t="s">
        <v>575</v>
      </c>
      <c r="AB55" s="115"/>
    </row>
    <row r="56" spans="3:28">
      <c r="C56" s="147" t="s">
        <v>576</v>
      </c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142"/>
    </row>
  </sheetData>
  <mergeCells count="16">
    <mergeCell ref="D15:D17"/>
    <mergeCell ref="D18:D20"/>
    <mergeCell ref="D21:D23"/>
    <mergeCell ref="D24:D26"/>
    <mergeCell ref="W2:Y2"/>
    <mergeCell ref="Z2:AB2"/>
    <mergeCell ref="D3:D5"/>
    <mergeCell ref="D6:D8"/>
    <mergeCell ref="D9:D11"/>
    <mergeCell ref="D12:D14"/>
    <mergeCell ref="E2:G2"/>
    <mergeCell ref="H2:J2"/>
    <mergeCell ref="K2:M2"/>
    <mergeCell ref="N2:P2"/>
    <mergeCell ref="Q2:S2"/>
    <mergeCell ref="T2:V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9FEF-FEA0-4B03-A66C-ACA08478696C}">
  <sheetPr codeName="Sheet7"/>
  <dimension ref="B1:M216"/>
  <sheetViews>
    <sheetView topLeftCell="B33" workbookViewId="0">
      <selection activeCell="B3" sqref="B3"/>
    </sheetView>
  </sheetViews>
  <sheetFormatPr baseColWidth="10" defaultColWidth="10.83203125" defaultRowHeight="16"/>
  <cols>
    <col min="2" max="2" width="25.1640625" customWidth="1"/>
    <col min="3" max="3" width="22" style="87" customWidth="1"/>
    <col min="4" max="4" width="14.1640625" customWidth="1"/>
    <col min="5" max="5" width="12.6640625" customWidth="1"/>
    <col min="6" max="6" width="23.1640625" customWidth="1"/>
    <col min="7" max="7" width="16" style="73" customWidth="1"/>
    <col min="8" max="8" width="16.83203125" style="73" customWidth="1"/>
    <col min="9" max="9" width="12.83203125" style="80" customWidth="1"/>
    <col min="10" max="10" width="16.5" style="80" customWidth="1"/>
    <col min="11" max="11" width="16.1640625" style="84" customWidth="1"/>
    <col min="12" max="12" width="9.5" customWidth="1"/>
  </cols>
  <sheetData>
    <row r="1" spans="2:13" ht="262" customHeight="1">
      <c r="B1" s="270" t="s">
        <v>578</v>
      </c>
      <c r="C1" s="271"/>
      <c r="D1" s="271"/>
      <c r="E1" s="271"/>
      <c r="F1" s="271"/>
      <c r="G1" s="271"/>
      <c r="H1" s="271"/>
      <c r="I1" s="271"/>
      <c r="J1" s="271"/>
      <c r="K1" s="271"/>
    </row>
    <row r="2" spans="2:13" ht="34">
      <c r="B2" t="s">
        <v>579</v>
      </c>
      <c r="C2" s="87" t="s">
        <v>580</v>
      </c>
      <c r="D2" s="137" t="s">
        <v>581</v>
      </c>
      <c r="F2" t="s">
        <v>582</v>
      </c>
    </row>
    <row r="3" spans="2:13">
      <c r="B3" t="s">
        <v>583</v>
      </c>
      <c r="E3" t="s">
        <v>584</v>
      </c>
      <c r="F3">
        <v>0.5</v>
      </c>
    </row>
    <row r="5" spans="2:13" s="74" customFormat="1" ht="17">
      <c r="B5" s="138" t="s">
        <v>4</v>
      </c>
      <c r="C5" s="139" t="s">
        <v>585</v>
      </c>
      <c r="D5" s="77" t="s">
        <v>4</v>
      </c>
      <c r="E5" s="77" t="s">
        <v>5</v>
      </c>
      <c r="F5" s="77" t="s">
        <v>6</v>
      </c>
      <c r="G5" s="78" t="s">
        <v>7</v>
      </c>
      <c r="H5" s="78" t="s">
        <v>8</v>
      </c>
      <c r="I5" s="81" t="s">
        <v>9</v>
      </c>
      <c r="J5" s="81" t="s">
        <v>10</v>
      </c>
      <c r="K5" s="81" t="s">
        <v>11</v>
      </c>
      <c r="L5" s="149" t="s">
        <v>586</v>
      </c>
    </row>
    <row r="6" spans="2:13" ht="85">
      <c r="B6" s="204" t="s">
        <v>587</v>
      </c>
      <c r="C6" s="205" t="s">
        <v>588</v>
      </c>
      <c r="D6" t="s">
        <v>142</v>
      </c>
      <c r="E6" t="s">
        <v>22</v>
      </c>
      <c r="F6" t="s">
        <v>48</v>
      </c>
      <c r="G6" s="75">
        <f>H6*(1+$F$3)</f>
        <v>2.9849999999999999</v>
      </c>
      <c r="H6" s="79">
        <f>AVERAGE(I6:K6)</f>
        <v>1.99</v>
      </c>
      <c r="I6" s="79"/>
      <c r="J6" s="79">
        <v>1.99</v>
      </c>
      <c r="K6" s="79"/>
      <c r="L6" s="140"/>
    </row>
    <row r="7" spans="2:13">
      <c r="B7" s="204" t="s">
        <v>589</v>
      </c>
      <c r="C7" s="205"/>
      <c r="D7" t="s">
        <v>142</v>
      </c>
      <c r="E7" t="s">
        <v>22</v>
      </c>
      <c r="F7" t="s">
        <v>54</v>
      </c>
      <c r="G7" s="75">
        <f>H7*(1+$F$3)</f>
        <v>3.3000000000000003</v>
      </c>
      <c r="H7" s="79">
        <f>AVERAGE(I7:K7)</f>
        <v>2.2000000000000002</v>
      </c>
      <c r="I7" s="79"/>
      <c r="J7" s="79"/>
      <c r="K7" s="79">
        <v>2.2000000000000002</v>
      </c>
      <c r="L7" s="140"/>
    </row>
    <row r="8" spans="2:13">
      <c r="B8" s="204" t="s">
        <v>590</v>
      </c>
      <c r="C8" s="205"/>
      <c r="D8" s="106" t="s">
        <v>142</v>
      </c>
      <c r="E8" s="106" t="s">
        <v>22</v>
      </c>
      <c r="F8" s="106" t="s">
        <v>591</v>
      </c>
      <c r="G8" s="107">
        <f t="shared" ref="G8" si="0">H8*(1+$F$3)</f>
        <v>6.75</v>
      </c>
      <c r="H8" s="108">
        <f t="shared" ref="H8" si="1">AVERAGE(I8:K8)</f>
        <v>4.5</v>
      </c>
      <c r="I8" s="108">
        <v>4.5</v>
      </c>
      <c r="J8" s="108"/>
      <c r="K8" s="108"/>
      <c r="L8" s="140"/>
      <c r="M8" s="106" t="s">
        <v>592</v>
      </c>
    </row>
    <row r="9" spans="2:13">
      <c r="B9" s="204" t="s">
        <v>590</v>
      </c>
      <c r="C9" s="205"/>
      <c r="D9" t="s">
        <v>142</v>
      </c>
      <c r="E9" t="s">
        <v>22</v>
      </c>
      <c r="F9" t="s">
        <v>47</v>
      </c>
      <c r="G9" s="75">
        <f t="shared" ref="G9:G40" si="2">H9*(1+$F$3)</f>
        <v>3.9000000000000004</v>
      </c>
      <c r="H9" s="79">
        <f t="shared" ref="H9:H40" si="3">AVERAGE(I9:K9)</f>
        <v>2.6</v>
      </c>
      <c r="I9" s="79"/>
      <c r="J9" s="79">
        <v>2.6</v>
      </c>
      <c r="K9" s="79"/>
      <c r="L9" s="140"/>
    </row>
    <row r="10" spans="2:13" ht="17">
      <c r="B10" s="204" t="s">
        <v>593</v>
      </c>
      <c r="C10" s="205" t="s">
        <v>594</v>
      </c>
      <c r="D10" t="s">
        <v>556</v>
      </c>
      <c r="E10" t="s">
        <v>22</v>
      </c>
      <c r="F10" t="s">
        <v>24</v>
      </c>
      <c r="G10" s="75">
        <f t="shared" si="2"/>
        <v>6.1499999999999995</v>
      </c>
      <c r="H10" s="79">
        <f t="shared" si="3"/>
        <v>4.0999999999999996</v>
      </c>
      <c r="I10" s="79"/>
      <c r="J10" s="79"/>
      <c r="K10" s="79">
        <v>4.0999999999999996</v>
      </c>
      <c r="L10" s="140"/>
    </row>
    <row r="11" spans="2:13" ht="17">
      <c r="B11" s="204" t="s">
        <v>593</v>
      </c>
      <c r="C11" s="205" t="s">
        <v>594</v>
      </c>
      <c r="D11" t="s">
        <v>556</v>
      </c>
      <c r="E11" t="s">
        <v>22</v>
      </c>
      <c r="F11" t="s">
        <v>23</v>
      </c>
      <c r="G11" s="75">
        <f t="shared" si="2"/>
        <v>6.4499999999999993</v>
      </c>
      <c r="H11" s="79">
        <f t="shared" si="3"/>
        <v>4.3</v>
      </c>
      <c r="I11" s="79"/>
      <c r="J11" s="79"/>
      <c r="K11" s="79">
        <v>4.3</v>
      </c>
      <c r="L11" s="140"/>
    </row>
    <row r="12" spans="2:13" ht="17">
      <c r="B12" s="204" t="s">
        <v>593</v>
      </c>
      <c r="C12" s="205" t="s">
        <v>594</v>
      </c>
      <c r="D12" t="s">
        <v>556</v>
      </c>
      <c r="E12" t="s">
        <v>22</v>
      </c>
      <c r="F12" t="s">
        <v>25</v>
      </c>
      <c r="G12" s="75">
        <f t="shared" si="2"/>
        <v>5.9625000000000004</v>
      </c>
      <c r="H12" s="79">
        <f t="shared" si="3"/>
        <v>3.9750000000000001</v>
      </c>
      <c r="I12" s="79">
        <v>4</v>
      </c>
      <c r="J12" s="79">
        <v>3.95</v>
      </c>
      <c r="K12" s="79"/>
      <c r="L12" s="140"/>
    </row>
    <row r="13" spans="2:13" ht="34">
      <c r="B13" s="204" t="s">
        <v>595</v>
      </c>
      <c r="C13" s="205" t="s">
        <v>596</v>
      </c>
      <c r="D13" s="106" t="s">
        <v>556</v>
      </c>
      <c r="E13" s="106" t="s">
        <v>22</v>
      </c>
      <c r="F13" s="106" t="s">
        <v>70</v>
      </c>
      <c r="G13" s="107">
        <f t="shared" si="2"/>
        <v>5.9625000000000004</v>
      </c>
      <c r="H13" s="108">
        <f t="shared" si="3"/>
        <v>3.9750000000000001</v>
      </c>
      <c r="I13" s="108">
        <v>4</v>
      </c>
      <c r="J13" s="108">
        <v>3.95</v>
      </c>
      <c r="K13" s="108"/>
      <c r="L13" s="140"/>
      <c r="M13" s="106" t="s">
        <v>597</v>
      </c>
    </row>
    <row r="14" spans="2:13">
      <c r="B14" s="204" t="s">
        <v>595</v>
      </c>
      <c r="C14" s="205"/>
      <c r="D14" s="106" t="s">
        <v>556</v>
      </c>
      <c r="E14" s="106" t="s">
        <v>22</v>
      </c>
      <c r="F14" s="106" t="s">
        <v>71</v>
      </c>
      <c r="G14" s="107">
        <f t="shared" si="2"/>
        <v>6.7124999999999995</v>
      </c>
      <c r="H14" s="108">
        <f t="shared" si="3"/>
        <v>4.4749999999999996</v>
      </c>
      <c r="I14" s="108">
        <v>4</v>
      </c>
      <c r="J14" s="108">
        <v>4.95</v>
      </c>
      <c r="K14" s="108"/>
      <c r="L14" s="140"/>
      <c r="M14" s="106" t="s">
        <v>597</v>
      </c>
    </row>
    <row r="15" spans="2:13">
      <c r="B15" s="204" t="s">
        <v>595</v>
      </c>
      <c r="C15" s="205"/>
      <c r="D15" s="106" t="s">
        <v>556</v>
      </c>
      <c r="E15" s="106" t="s">
        <v>22</v>
      </c>
      <c r="F15" s="106" t="s">
        <v>73</v>
      </c>
      <c r="G15" s="107">
        <f t="shared" si="2"/>
        <v>4.9499999999999993</v>
      </c>
      <c r="H15" s="108">
        <f t="shared" si="3"/>
        <v>3.3</v>
      </c>
      <c r="I15" s="108">
        <v>3</v>
      </c>
      <c r="J15" s="108">
        <v>3.6</v>
      </c>
      <c r="K15" s="108"/>
      <c r="L15" s="140"/>
      <c r="M15" s="106" t="s">
        <v>597</v>
      </c>
    </row>
    <row r="16" spans="2:13">
      <c r="B16" s="204" t="s">
        <v>595</v>
      </c>
      <c r="C16" s="205"/>
      <c r="D16" s="106" t="s">
        <v>556</v>
      </c>
      <c r="E16" s="106" t="s">
        <v>22</v>
      </c>
      <c r="F16" s="106" t="s">
        <v>72</v>
      </c>
      <c r="G16" s="107">
        <f t="shared" si="2"/>
        <v>5.9625000000000004</v>
      </c>
      <c r="H16" s="108">
        <f t="shared" si="3"/>
        <v>3.9750000000000001</v>
      </c>
      <c r="I16" s="108">
        <v>4</v>
      </c>
      <c r="J16" s="108">
        <v>3.95</v>
      </c>
      <c r="K16" s="108"/>
      <c r="L16" s="140"/>
      <c r="M16" s="106" t="s">
        <v>597</v>
      </c>
    </row>
    <row r="17" spans="2:13">
      <c r="B17" s="204" t="s">
        <v>595</v>
      </c>
      <c r="C17" s="205"/>
      <c r="D17" s="106" t="s">
        <v>556</v>
      </c>
      <c r="E17" s="106" t="s">
        <v>22</v>
      </c>
      <c r="F17" s="106" t="s">
        <v>74</v>
      </c>
      <c r="G17" s="107">
        <f t="shared" si="2"/>
        <v>4.9875000000000007</v>
      </c>
      <c r="H17" s="108">
        <f t="shared" si="3"/>
        <v>3.3250000000000002</v>
      </c>
      <c r="I17" s="108">
        <v>3</v>
      </c>
      <c r="J17" s="108">
        <v>3.65</v>
      </c>
      <c r="K17" s="108"/>
      <c r="L17" s="140"/>
      <c r="M17" s="106" t="s">
        <v>597</v>
      </c>
    </row>
    <row r="18" spans="2:13">
      <c r="B18" s="204" t="s">
        <v>587</v>
      </c>
      <c r="C18" s="205"/>
      <c r="D18" t="s">
        <v>142</v>
      </c>
      <c r="E18" t="s">
        <v>598</v>
      </c>
      <c r="F18" t="s">
        <v>89</v>
      </c>
      <c r="G18" s="75">
        <f t="shared" si="2"/>
        <v>1.5</v>
      </c>
      <c r="H18" s="79">
        <f t="shared" si="3"/>
        <v>1</v>
      </c>
      <c r="I18" s="79"/>
      <c r="J18" s="79">
        <v>1</v>
      </c>
      <c r="K18" s="79"/>
      <c r="L18" s="140"/>
    </row>
    <row r="19" spans="2:13" ht="34">
      <c r="B19" s="204"/>
      <c r="C19" s="205" t="s">
        <v>599</v>
      </c>
      <c r="D19" t="s">
        <v>142</v>
      </c>
      <c r="E19" t="s">
        <v>598</v>
      </c>
      <c r="F19" t="s">
        <v>37</v>
      </c>
      <c r="G19" s="75">
        <f t="shared" si="2"/>
        <v>2.6850000000000001</v>
      </c>
      <c r="H19" s="79">
        <f t="shared" si="3"/>
        <v>1.79</v>
      </c>
      <c r="I19" s="79"/>
      <c r="J19" s="79">
        <v>1.79</v>
      </c>
      <c r="K19" s="79"/>
      <c r="L19" s="140"/>
    </row>
    <row r="20" spans="2:13">
      <c r="B20" s="204" t="s">
        <v>590</v>
      </c>
      <c r="C20" s="205"/>
      <c r="D20" t="s">
        <v>142</v>
      </c>
      <c r="E20" t="s">
        <v>598</v>
      </c>
      <c r="F20" t="s">
        <v>84</v>
      </c>
      <c r="G20" s="75">
        <f t="shared" si="2"/>
        <v>3.1500000000000004</v>
      </c>
      <c r="H20" s="79">
        <f t="shared" si="3"/>
        <v>2.1</v>
      </c>
      <c r="I20" s="79"/>
      <c r="J20" s="79"/>
      <c r="K20" s="79">
        <v>2.1</v>
      </c>
      <c r="L20" s="140"/>
    </row>
    <row r="21" spans="2:13">
      <c r="B21" s="204" t="s">
        <v>590</v>
      </c>
      <c r="C21" s="205"/>
      <c r="D21" t="s">
        <v>142</v>
      </c>
      <c r="E21" t="s">
        <v>598</v>
      </c>
      <c r="F21" t="s">
        <v>83</v>
      </c>
      <c r="G21" s="75">
        <f t="shared" si="2"/>
        <v>4.5</v>
      </c>
      <c r="H21" s="79">
        <f t="shared" si="3"/>
        <v>3</v>
      </c>
      <c r="I21" s="79">
        <v>3</v>
      </c>
      <c r="J21" s="79"/>
      <c r="K21" s="79"/>
      <c r="L21" s="140"/>
    </row>
    <row r="22" spans="2:13">
      <c r="B22" s="204" t="s">
        <v>587</v>
      </c>
      <c r="C22" s="205"/>
      <c r="D22" t="s">
        <v>142</v>
      </c>
      <c r="E22" t="s">
        <v>598</v>
      </c>
      <c r="F22" t="s">
        <v>88</v>
      </c>
      <c r="G22" s="75">
        <f t="shared" si="2"/>
        <v>2.0999999999999996</v>
      </c>
      <c r="H22" s="79">
        <f t="shared" si="3"/>
        <v>1.4</v>
      </c>
      <c r="I22" s="79">
        <v>1.4</v>
      </c>
      <c r="J22" s="79"/>
      <c r="K22" s="79"/>
      <c r="L22" s="140"/>
    </row>
    <row r="23" spans="2:13">
      <c r="B23" s="204" t="s">
        <v>600</v>
      </c>
      <c r="C23" s="205"/>
      <c r="D23" t="s">
        <v>142</v>
      </c>
      <c r="E23" t="s">
        <v>598</v>
      </c>
      <c r="F23" t="s">
        <v>80</v>
      </c>
      <c r="G23" s="75">
        <f t="shared" si="2"/>
        <v>1.875</v>
      </c>
      <c r="H23" s="79">
        <f t="shared" si="3"/>
        <v>1.25</v>
      </c>
      <c r="I23" s="79">
        <v>1.3</v>
      </c>
      <c r="J23" s="79">
        <v>1.2</v>
      </c>
      <c r="K23" s="79"/>
      <c r="L23" s="140"/>
    </row>
    <row r="24" spans="2:13">
      <c r="B24" s="204" t="s">
        <v>601</v>
      </c>
      <c r="C24" s="205"/>
      <c r="D24" t="s">
        <v>142</v>
      </c>
      <c r="E24" t="s">
        <v>598</v>
      </c>
      <c r="F24" t="s">
        <v>85</v>
      </c>
      <c r="G24" s="75">
        <f t="shared" si="2"/>
        <v>1.5</v>
      </c>
      <c r="H24" s="79">
        <f t="shared" si="3"/>
        <v>1</v>
      </c>
      <c r="I24" s="79"/>
      <c r="J24" s="79"/>
      <c r="K24" s="79">
        <v>1</v>
      </c>
      <c r="L24" s="140"/>
    </row>
    <row r="25" spans="2:13" ht="51">
      <c r="B25" s="204" t="s">
        <v>602</v>
      </c>
      <c r="C25" s="205" t="s">
        <v>603</v>
      </c>
      <c r="D25" t="s">
        <v>142</v>
      </c>
      <c r="E25" t="s">
        <v>598</v>
      </c>
      <c r="F25" t="s">
        <v>77</v>
      </c>
      <c r="G25" s="75">
        <f t="shared" si="2"/>
        <v>1.7999999999999998</v>
      </c>
      <c r="H25" s="79">
        <f t="shared" si="3"/>
        <v>1.2</v>
      </c>
      <c r="I25" s="79">
        <v>1.4</v>
      </c>
      <c r="J25" s="79"/>
      <c r="K25" s="79">
        <v>1</v>
      </c>
      <c r="L25" s="140"/>
    </row>
    <row r="26" spans="2:13">
      <c r="B26" s="204" t="s">
        <v>602</v>
      </c>
      <c r="C26" s="205"/>
      <c r="D26" t="s">
        <v>142</v>
      </c>
      <c r="E26" t="s">
        <v>598</v>
      </c>
      <c r="F26" t="s">
        <v>78</v>
      </c>
      <c r="G26" s="75">
        <f t="shared" si="2"/>
        <v>2.0999999999999996</v>
      </c>
      <c r="H26" s="79">
        <f t="shared" si="3"/>
        <v>1.4</v>
      </c>
      <c r="I26" s="79"/>
      <c r="J26" s="79"/>
      <c r="K26" s="79">
        <v>1.4</v>
      </c>
      <c r="L26" s="140"/>
    </row>
    <row r="27" spans="2:13">
      <c r="B27" s="204" t="s">
        <v>589</v>
      </c>
      <c r="C27" s="205"/>
      <c r="D27" t="s">
        <v>142</v>
      </c>
      <c r="E27" t="s">
        <v>598</v>
      </c>
      <c r="F27" t="s">
        <v>91</v>
      </c>
      <c r="G27" s="75">
        <f t="shared" si="2"/>
        <v>1.6500000000000001</v>
      </c>
      <c r="H27" s="79">
        <f t="shared" si="3"/>
        <v>1.1000000000000001</v>
      </c>
      <c r="I27" s="79">
        <v>1.2</v>
      </c>
      <c r="J27" s="79"/>
      <c r="K27" s="79">
        <v>1</v>
      </c>
      <c r="L27" s="140"/>
    </row>
    <row r="28" spans="2:13" ht="34">
      <c r="B28" s="204" t="s">
        <v>604</v>
      </c>
      <c r="C28" s="205" t="s">
        <v>605</v>
      </c>
      <c r="D28" t="s">
        <v>142</v>
      </c>
      <c r="E28" t="s">
        <v>598</v>
      </c>
      <c r="F28" t="s">
        <v>86</v>
      </c>
      <c r="G28" s="75">
        <f t="shared" si="2"/>
        <v>3.3562499999999997</v>
      </c>
      <c r="H28" s="79">
        <f t="shared" si="3"/>
        <v>2.2374999999999998</v>
      </c>
      <c r="I28" s="79">
        <f>17.25/10</f>
        <v>1.7250000000000001</v>
      </c>
      <c r="J28" s="79">
        <v>2.75</v>
      </c>
      <c r="K28" s="79"/>
      <c r="L28" s="140"/>
    </row>
    <row r="29" spans="2:13">
      <c r="B29" s="204" t="s">
        <v>600</v>
      </c>
      <c r="C29" s="205"/>
      <c r="D29" t="s">
        <v>142</v>
      </c>
      <c r="E29" t="s">
        <v>598</v>
      </c>
      <c r="F29" t="s">
        <v>118</v>
      </c>
      <c r="G29" s="75">
        <f t="shared" si="2"/>
        <v>2.5875000000000004</v>
      </c>
      <c r="H29" s="79">
        <f t="shared" si="3"/>
        <v>1.7250000000000001</v>
      </c>
      <c r="I29" s="79">
        <v>1.55</v>
      </c>
      <c r="J29" s="79">
        <v>1.9</v>
      </c>
      <c r="K29" s="79"/>
      <c r="L29" s="140"/>
    </row>
    <row r="30" spans="2:13" ht="68">
      <c r="B30" s="204" t="s">
        <v>606</v>
      </c>
      <c r="C30" s="205" t="s">
        <v>607</v>
      </c>
      <c r="D30" t="s">
        <v>142</v>
      </c>
      <c r="E30" t="s">
        <v>598</v>
      </c>
      <c r="F30" t="s">
        <v>81</v>
      </c>
      <c r="G30" s="75">
        <f t="shared" si="2"/>
        <v>2.4000000000000004</v>
      </c>
      <c r="H30" s="79">
        <f t="shared" si="3"/>
        <v>1.6</v>
      </c>
      <c r="I30" s="79"/>
      <c r="J30" s="79">
        <v>1.6</v>
      </c>
      <c r="K30" s="79"/>
      <c r="L30" s="140"/>
    </row>
    <row r="31" spans="2:13" ht="68">
      <c r="B31" s="204" t="s">
        <v>606</v>
      </c>
      <c r="C31" s="205" t="s">
        <v>607</v>
      </c>
      <c r="D31" t="s">
        <v>142</v>
      </c>
      <c r="E31" t="s">
        <v>598</v>
      </c>
      <c r="F31" t="s">
        <v>122</v>
      </c>
      <c r="G31" s="75">
        <f t="shared" si="2"/>
        <v>3.5999999999999996</v>
      </c>
      <c r="H31" s="79">
        <f t="shared" si="3"/>
        <v>2.4</v>
      </c>
      <c r="I31" s="79"/>
      <c r="J31" s="79">
        <v>2.4</v>
      </c>
      <c r="K31" s="79"/>
      <c r="L31" s="140"/>
    </row>
    <row r="32" spans="2:13">
      <c r="B32" s="204" t="s">
        <v>589</v>
      </c>
      <c r="C32" s="205"/>
      <c r="D32" t="s">
        <v>142</v>
      </c>
      <c r="E32" t="s">
        <v>598</v>
      </c>
      <c r="F32" t="s">
        <v>125</v>
      </c>
      <c r="G32" s="75">
        <f t="shared" si="2"/>
        <v>2.2574999999999998</v>
      </c>
      <c r="H32" s="79">
        <f t="shared" si="3"/>
        <v>1.5049999999999999</v>
      </c>
      <c r="I32" s="79">
        <v>1.3</v>
      </c>
      <c r="J32" s="79">
        <v>1.71</v>
      </c>
      <c r="K32" s="79"/>
      <c r="L32" s="140"/>
    </row>
    <row r="33" spans="2:12">
      <c r="B33" s="204" t="s">
        <v>590</v>
      </c>
      <c r="C33" s="205"/>
      <c r="D33" t="s">
        <v>142</v>
      </c>
      <c r="E33" t="s">
        <v>598</v>
      </c>
      <c r="F33" t="s">
        <v>82</v>
      </c>
      <c r="G33" s="75">
        <f t="shared" si="2"/>
        <v>2.4000000000000004</v>
      </c>
      <c r="H33" s="79">
        <f t="shared" si="3"/>
        <v>1.6</v>
      </c>
      <c r="I33" s="79">
        <v>1.4</v>
      </c>
      <c r="J33" s="79">
        <v>1.8</v>
      </c>
      <c r="K33" s="79"/>
      <c r="L33" s="140"/>
    </row>
    <row r="34" spans="2:12">
      <c r="B34" s="204" t="s">
        <v>608</v>
      </c>
      <c r="C34" s="205"/>
      <c r="D34" t="s">
        <v>556</v>
      </c>
      <c r="E34" t="s">
        <v>598</v>
      </c>
      <c r="F34" t="s">
        <v>32</v>
      </c>
      <c r="G34" s="75">
        <f t="shared" si="2"/>
        <v>3.0749999999999997</v>
      </c>
      <c r="H34" s="79">
        <f t="shared" si="3"/>
        <v>2.0499999999999998</v>
      </c>
      <c r="I34" s="79"/>
      <c r="J34" s="79">
        <v>2.0499999999999998</v>
      </c>
      <c r="K34" s="79"/>
      <c r="L34" s="140"/>
    </row>
    <row r="35" spans="2:12">
      <c r="B35" s="204" t="s">
        <v>608</v>
      </c>
      <c r="C35" s="205"/>
      <c r="D35" t="s">
        <v>556</v>
      </c>
      <c r="E35" t="s">
        <v>598</v>
      </c>
      <c r="F35" t="s">
        <v>27</v>
      </c>
      <c r="G35" s="75">
        <f t="shared" si="2"/>
        <v>2.8499999999999996</v>
      </c>
      <c r="H35" s="79">
        <f t="shared" si="3"/>
        <v>1.9</v>
      </c>
      <c r="I35" s="79"/>
      <c r="J35" s="79">
        <v>1.9</v>
      </c>
      <c r="K35" s="79"/>
      <c r="L35" s="140"/>
    </row>
    <row r="36" spans="2:12">
      <c r="B36" s="204" t="s">
        <v>609</v>
      </c>
      <c r="C36" s="205"/>
      <c r="D36" t="s">
        <v>556</v>
      </c>
      <c r="E36" t="s">
        <v>598</v>
      </c>
      <c r="F36" t="s">
        <v>31</v>
      </c>
      <c r="G36" s="75">
        <f t="shared" si="2"/>
        <v>2.25</v>
      </c>
      <c r="H36" s="79">
        <f t="shared" si="3"/>
        <v>1.5</v>
      </c>
      <c r="I36" s="79"/>
      <c r="J36" s="79"/>
      <c r="K36" s="79">
        <f>15/10</f>
        <v>1.5</v>
      </c>
      <c r="L36" s="140"/>
    </row>
    <row r="37" spans="2:12">
      <c r="B37" s="204" t="s">
        <v>609</v>
      </c>
      <c r="C37" s="205"/>
      <c r="D37" t="s">
        <v>556</v>
      </c>
      <c r="E37" t="s">
        <v>598</v>
      </c>
      <c r="F37" t="s">
        <v>562</v>
      </c>
      <c r="G37" s="75">
        <f t="shared" si="2"/>
        <v>1.4249999999999998</v>
      </c>
      <c r="H37" s="79">
        <f t="shared" si="3"/>
        <v>0.95</v>
      </c>
      <c r="I37" s="79"/>
      <c r="J37" s="79"/>
      <c r="K37" s="79">
        <f>9.5/10</f>
        <v>0.95</v>
      </c>
      <c r="L37" s="140"/>
    </row>
    <row r="38" spans="2:12">
      <c r="B38" s="204" t="s">
        <v>610</v>
      </c>
      <c r="C38" s="205"/>
      <c r="D38" t="s">
        <v>556</v>
      </c>
      <c r="E38" t="s">
        <v>598</v>
      </c>
      <c r="F38" t="s">
        <v>29</v>
      </c>
      <c r="G38" s="75">
        <f t="shared" si="2"/>
        <v>1.5</v>
      </c>
      <c r="H38" s="79">
        <f t="shared" si="3"/>
        <v>1</v>
      </c>
      <c r="I38" s="79">
        <v>1.1000000000000001</v>
      </c>
      <c r="J38" s="79">
        <v>0.9</v>
      </c>
      <c r="K38" s="79"/>
      <c r="L38" s="140"/>
    </row>
    <row r="39" spans="2:12" ht="102">
      <c r="B39" s="204" t="s">
        <v>611</v>
      </c>
      <c r="C39" s="205" t="s">
        <v>612</v>
      </c>
      <c r="D39" t="s">
        <v>556</v>
      </c>
      <c r="E39" t="s">
        <v>598</v>
      </c>
      <c r="F39" t="s">
        <v>40</v>
      </c>
      <c r="G39" s="75">
        <f t="shared" si="2"/>
        <v>2.1749999999999998</v>
      </c>
      <c r="H39" s="79">
        <f t="shared" si="3"/>
        <v>1.45</v>
      </c>
      <c r="I39" s="79">
        <v>1.4</v>
      </c>
      <c r="J39" s="79">
        <v>1.5</v>
      </c>
      <c r="K39" s="79"/>
      <c r="L39" s="140"/>
    </row>
    <row r="40" spans="2:12">
      <c r="B40" s="204" t="s">
        <v>613</v>
      </c>
      <c r="C40" s="205"/>
      <c r="D40" t="s">
        <v>556</v>
      </c>
      <c r="E40" t="s">
        <v>598</v>
      </c>
      <c r="F40" t="s">
        <v>120</v>
      </c>
      <c r="G40" s="75">
        <f t="shared" si="2"/>
        <v>2.5499999999999998</v>
      </c>
      <c r="H40" s="79">
        <f t="shared" si="3"/>
        <v>1.7</v>
      </c>
      <c r="I40" s="79">
        <v>1.4</v>
      </c>
      <c r="J40" s="79">
        <v>2</v>
      </c>
      <c r="K40" s="79"/>
      <c r="L40" s="140"/>
    </row>
    <row r="41" spans="2:12" ht="33" customHeight="1">
      <c r="B41" s="204" t="s">
        <v>614</v>
      </c>
      <c r="C41" s="205" t="s">
        <v>615</v>
      </c>
      <c r="D41" t="s">
        <v>556</v>
      </c>
      <c r="E41" t="s">
        <v>598</v>
      </c>
      <c r="F41" t="s">
        <v>58</v>
      </c>
      <c r="G41" s="75">
        <f t="shared" ref="G41:G72" si="4">H41*(1+$F$3)</f>
        <v>1.6875</v>
      </c>
      <c r="H41" s="79">
        <f t="shared" ref="H41:H72" si="5">AVERAGE(I41:K41)</f>
        <v>1.125</v>
      </c>
      <c r="I41" s="79">
        <v>0.75</v>
      </c>
      <c r="J41" s="79">
        <v>1.5</v>
      </c>
      <c r="K41" s="79"/>
      <c r="L41" s="140"/>
    </row>
    <row r="42" spans="2:12">
      <c r="B42" s="204" t="s">
        <v>614</v>
      </c>
      <c r="C42" s="205"/>
      <c r="D42" t="s">
        <v>556</v>
      </c>
      <c r="E42" t="s">
        <v>598</v>
      </c>
      <c r="F42" t="s">
        <v>57</v>
      </c>
      <c r="G42" s="75">
        <f t="shared" si="4"/>
        <v>1.875</v>
      </c>
      <c r="H42" s="79">
        <f t="shared" si="5"/>
        <v>1.25</v>
      </c>
      <c r="I42" s="79">
        <v>1.1000000000000001</v>
      </c>
      <c r="J42" s="79">
        <v>1.4</v>
      </c>
      <c r="K42" s="79"/>
      <c r="L42" s="140"/>
    </row>
    <row r="43" spans="2:12" ht="34">
      <c r="B43" s="204" t="s">
        <v>569</v>
      </c>
      <c r="C43" s="205" t="s">
        <v>616</v>
      </c>
      <c r="D43" t="s">
        <v>556</v>
      </c>
      <c r="E43" t="s">
        <v>598</v>
      </c>
      <c r="F43" t="s">
        <v>62</v>
      </c>
      <c r="G43" s="75">
        <f t="shared" si="4"/>
        <v>2.2125000000000004</v>
      </c>
      <c r="H43" s="79">
        <f t="shared" si="5"/>
        <v>1.4750000000000001</v>
      </c>
      <c r="I43" s="79">
        <v>1.25</v>
      </c>
      <c r="J43" s="79">
        <v>1.7</v>
      </c>
      <c r="K43" s="79"/>
      <c r="L43" s="140"/>
    </row>
    <row r="44" spans="2:12">
      <c r="B44" s="204" t="s">
        <v>617</v>
      </c>
      <c r="C44" s="205"/>
      <c r="D44" t="s">
        <v>556</v>
      </c>
      <c r="E44" t="s">
        <v>598</v>
      </c>
      <c r="F44" t="s">
        <v>67</v>
      </c>
      <c r="G44" s="75">
        <f t="shared" si="4"/>
        <v>1.9500000000000002</v>
      </c>
      <c r="H44" s="79">
        <f t="shared" si="5"/>
        <v>1.3</v>
      </c>
      <c r="I44" s="79"/>
      <c r="J44" s="79">
        <v>1.3</v>
      </c>
      <c r="K44" s="79"/>
      <c r="L44" s="140"/>
    </row>
    <row r="45" spans="2:12" ht="17">
      <c r="B45" s="204"/>
      <c r="C45" s="205" t="s">
        <v>618</v>
      </c>
      <c r="D45" t="s">
        <v>556</v>
      </c>
      <c r="E45" t="s">
        <v>598</v>
      </c>
      <c r="F45" t="s">
        <v>68</v>
      </c>
      <c r="G45" s="75">
        <f t="shared" si="4"/>
        <v>3</v>
      </c>
      <c r="H45" s="79">
        <f t="shared" si="5"/>
        <v>2</v>
      </c>
      <c r="I45" s="79"/>
      <c r="J45" s="79"/>
      <c r="K45" s="79">
        <v>2</v>
      </c>
      <c r="L45" s="140"/>
    </row>
    <row r="46" spans="2:12" ht="34">
      <c r="B46" s="204"/>
      <c r="C46" s="205" t="s">
        <v>619</v>
      </c>
      <c r="D46" t="s">
        <v>556</v>
      </c>
      <c r="E46" t="s">
        <v>598</v>
      </c>
      <c r="F46" t="s">
        <v>35</v>
      </c>
      <c r="G46" s="79">
        <f t="shared" si="4"/>
        <v>3</v>
      </c>
      <c r="H46" s="79">
        <f t="shared" si="5"/>
        <v>2</v>
      </c>
      <c r="I46" s="79"/>
      <c r="J46" s="79"/>
      <c r="K46" s="79">
        <v>2</v>
      </c>
      <c r="L46" s="140"/>
    </row>
    <row r="47" spans="2:12">
      <c r="B47" s="204" t="s">
        <v>620</v>
      </c>
      <c r="C47" s="205"/>
      <c r="D47" t="s">
        <v>556</v>
      </c>
      <c r="E47" t="s">
        <v>598</v>
      </c>
      <c r="F47" t="s">
        <v>577</v>
      </c>
      <c r="G47" s="75">
        <f t="shared" si="4"/>
        <v>2.7</v>
      </c>
      <c r="H47" s="79">
        <f t="shared" si="5"/>
        <v>1.8</v>
      </c>
      <c r="I47" s="79">
        <v>1.8</v>
      </c>
      <c r="J47" s="79"/>
      <c r="K47" s="79"/>
      <c r="L47" s="140"/>
    </row>
    <row r="48" spans="2:12">
      <c r="B48" s="204" t="s">
        <v>621</v>
      </c>
      <c r="C48" s="205"/>
      <c r="D48" t="s">
        <v>142</v>
      </c>
      <c r="E48" t="s">
        <v>33</v>
      </c>
      <c r="F48" t="s">
        <v>100</v>
      </c>
      <c r="G48" s="79">
        <f t="shared" si="4"/>
        <v>4.1174999999999997</v>
      </c>
      <c r="H48" s="79">
        <f t="shared" si="5"/>
        <v>2.7450000000000001</v>
      </c>
      <c r="I48" s="79">
        <v>2.5</v>
      </c>
      <c r="J48" s="79">
        <v>2.99</v>
      </c>
      <c r="L48" s="140"/>
    </row>
    <row r="49" spans="2:12">
      <c r="B49" s="204" t="s">
        <v>621</v>
      </c>
      <c r="C49" s="205"/>
      <c r="D49" t="s">
        <v>142</v>
      </c>
      <c r="E49" t="s">
        <v>33</v>
      </c>
      <c r="F49" t="s">
        <v>622</v>
      </c>
      <c r="G49" s="79">
        <f t="shared" si="4"/>
        <v>7.4850000000000003</v>
      </c>
      <c r="H49" s="79">
        <f t="shared" si="5"/>
        <v>4.99</v>
      </c>
      <c r="I49" s="79"/>
      <c r="J49" s="79">
        <v>4.99</v>
      </c>
      <c r="L49" s="140"/>
    </row>
    <row r="50" spans="2:12" ht="34">
      <c r="B50" s="204" t="s">
        <v>570</v>
      </c>
      <c r="C50" s="205" t="s">
        <v>623</v>
      </c>
      <c r="D50" t="s">
        <v>142</v>
      </c>
      <c r="E50" t="s">
        <v>33</v>
      </c>
      <c r="F50" t="s">
        <v>97</v>
      </c>
      <c r="G50" s="79">
        <f t="shared" si="4"/>
        <v>1.7249999999999999</v>
      </c>
      <c r="H50" s="79">
        <f t="shared" si="5"/>
        <v>1.1499999999999999</v>
      </c>
      <c r="I50" s="79">
        <v>1.3</v>
      </c>
      <c r="J50" s="79">
        <v>1</v>
      </c>
      <c r="L50" s="140"/>
    </row>
    <row r="51" spans="2:12">
      <c r="B51" s="204" t="s">
        <v>624</v>
      </c>
      <c r="C51" s="205"/>
      <c r="D51" t="s">
        <v>142</v>
      </c>
      <c r="E51" t="s">
        <v>33</v>
      </c>
      <c r="F51" t="s">
        <v>96</v>
      </c>
      <c r="G51" s="79">
        <f t="shared" si="4"/>
        <v>1.6500000000000001</v>
      </c>
      <c r="H51" s="79">
        <f t="shared" si="5"/>
        <v>1.1000000000000001</v>
      </c>
      <c r="I51" s="79"/>
      <c r="J51" s="79">
        <v>1.1000000000000001</v>
      </c>
      <c r="L51" s="140"/>
    </row>
    <row r="52" spans="2:12" ht="34">
      <c r="B52" s="204" t="s">
        <v>568</v>
      </c>
      <c r="C52" s="205" t="s">
        <v>625</v>
      </c>
      <c r="D52" t="s">
        <v>556</v>
      </c>
      <c r="E52" t="s">
        <v>33</v>
      </c>
      <c r="F52" t="s">
        <v>69</v>
      </c>
      <c r="G52" s="79">
        <f t="shared" si="4"/>
        <v>1.9500000000000002</v>
      </c>
      <c r="H52" s="79">
        <f t="shared" si="5"/>
        <v>1.3</v>
      </c>
      <c r="I52" s="79">
        <v>1.3</v>
      </c>
      <c r="J52" s="79"/>
      <c r="L52" s="140"/>
    </row>
    <row r="53" spans="2:12">
      <c r="B53" s="204" t="s">
        <v>568</v>
      </c>
      <c r="C53" s="205"/>
      <c r="D53" t="s">
        <v>556</v>
      </c>
      <c r="E53" t="s">
        <v>33</v>
      </c>
      <c r="F53" t="s">
        <v>75</v>
      </c>
      <c r="G53" s="79">
        <f t="shared" si="4"/>
        <v>1.5750000000000002</v>
      </c>
      <c r="H53" s="79">
        <f t="shared" si="5"/>
        <v>1.05</v>
      </c>
      <c r="I53" s="79">
        <v>1.1000000000000001</v>
      </c>
      <c r="J53" s="79">
        <v>1</v>
      </c>
      <c r="L53" s="140"/>
    </row>
    <row r="54" spans="2:12">
      <c r="B54" s="204" t="s">
        <v>626</v>
      </c>
      <c r="C54" s="205"/>
      <c r="D54" t="s">
        <v>142</v>
      </c>
      <c r="E54" t="s">
        <v>187</v>
      </c>
      <c r="F54" t="s">
        <v>105</v>
      </c>
      <c r="G54" s="79">
        <f t="shared" si="4"/>
        <v>1.9500000000000002</v>
      </c>
      <c r="H54" s="79">
        <f t="shared" si="5"/>
        <v>1.3</v>
      </c>
      <c r="I54" s="79">
        <v>1.3</v>
      </c>
      <c r="J54" s="79"/>
      <c r="L54" s="140"/>
    </row>
    <row r="55" spans="2:12">
      <c r="B55" s="204" t="s">
        <v>570</v>
      </c>
      <c r="C55" s="205"/>
      <c r="D55" t="s">
        <v>142</v>
      </c>
      <c r="E55" t="s">
        <v>187</v>
      </c>
      <c r="F55" t="s">
        <v>103</v>
      </c>
      <c r="G55" s="79">
        <f t="shared" si="4"/>
        <v>1.7999999999999998</v>
      </c>
      <c r="H55" s="79">
        <f t="shared" si="5"/>
        <v>1.2</v>
      </c>
      <c r="I55" s="79">
        <v>1.2</v>
      </c>
      <c r="J55" s="79"/>
      <c r="L55" s="140"/>
    </row>
    <row r="56" spans="2:12">
      <c r="B56" s="204" t="s">
        <v>590</v>
      </c>
      <c r="C56" s="205"/>
      <c r="D56" t="s">
        <v>142</v>
      </c>
      <c r="E56" t="s">
        <v>187</v>
      </c>
      <c r="F56" t="s">
        <v>106</v>
      </c>
      <c r="G56" s="79">
        <f t="shared" si="4"/>
        <v>2.4000000000000004</v>
      </c>
      <c r="H56" s="79">
        <f t="shared" si="5"/>
        <v>1.6</v>
      </c>
      <c r="I56" s="79">
        <v>1.6</v>
      </c>
      <c r="J56" s="79"/>
      <c r="L56" s="140"/>
    </row>
    <row r="57" spans="2:12">
      <c r="B57" s="204" t="s">
        <v>627</v>
      </c>
      <c r="C57" s="205"/>
      <c r="D57" t="s">
        <v>142</v>
      </c>
      <c r="E57" t="s">
        <v>187</v>
      </c>
      <c r="F57" t="s">
        <v>108</v>
      </c>
      <c r="G57" s="79">
        <f t="shared" si="4"/>
        <v>1.5750000000000002</v>
      </c>
      <c r="H57" s="79">
        <f t="shared" si="5"/>
        <v>1.05</v>
      </c>
      <c r="I57" s="79">
        <v>1.3</v>
      </c>
      <c r="J57" s="79">
        <v>0.8</v>
      </c>
      <c r="L57" s="140"/>
    </row>
    <row r="58" spans="2:12">
      <c r="B58" s="204" t="s">
        <v>589</v>
      </c>
      <c r="C58" s="205"/>
      <c r="D58" t="s">
        <v>142</v>
      </c>
      <c r="E58" t="s">
        <v>187</v>
      </c>
      <c r="F58" t="s">
        <v>628</v>
      </c>
      <c r="G58" s="79">
        <f t="shared" si="4"/>
        <v>2.1749999999999998</v>
      </c>
      <c r="H58" s="79">
        <f t="shared" si="5"/>
        <v>1.45</v>
      </c>
      <c r="I58" s="79">
        <v>1.4</v>
      </c>
      <c r="J58" s="79">
        <v>1.5</v>
      </c>
      <c r="L58" s="140"/>
    </row>
    <row r="59" spans="2:12">
      <c r="B59" s="204" t="s">
        <v>589</v>
      </c>
      <c r="C59" s="205"/>
      <c r="D59" t="s">
        <v>142</v>
      </c>
      <c r="E59" t="s">
        <v>187</v>
      </c>
      <c r="F59" t="s">
        <v>110</v>
      </c>
      <c r="G59" s="79">
        <f t="shared" si="4"/>
        <v>1.125</v>
      </c>
      <c r="H59" s="79">
        <f t="shared" si="5"/>
        <v>0.75</v>
      </c>
      <c r="I59" s="79"/>
      <c r="J59" s="79"/>
      <c r="K59" s="84">
        <v>0.75</v>
      </c>
      <c r="L59" s="140"/>
    </row>
    <row r="60" spans="2:12">
      <c r="B60" s="204" t="s">
        <v>629</v>
      </c>
      <c r="C60" s="205"/>
      <c r="D60" t="s">
        <v>556</v>
      </c>
      <c r="E60" t="s">
        <v>187</v>
      </c>
      <c r="F60" t="s">
        <v>61</v>
      </c>
      <c r="G60" s="79">
        <f t="shared" si="4"/>
        <v>1.5</v>
      </c>
      <c r="H60" s="79">
        <f t="shared" si="5"/>
        <v>1</v>
      </c>
      <c r="I60" s="79"/>
      <c r="J60" s="79">
        <v>1</v>
      </c>
      <c r="L60" s="140"/>
    </row>
    <row r="61" spans="2:12">
      <c r="B61" s="204" t="s">
        <v>630</v>
      </c>
      <c r="C61" s="205"/>
      <c r="D61" t="s">
        <v>556</v>
      </c>
      <c r="E61" t="s">
        <v>187</v>
      </c>
      <c r="F61" t="s">
        <v>60</v>
      </c>
      <c r="G61" s="79">
        <f t="shared" si="4"/>
        <v>1.125</v>
      </c>
      <c r="H61" s="79">
        <f t="shared" si="5"/>
        <v>0.75</v>
      </c>
      <c r="I61" s="79">
        <v>0.75</v>
      </c>
      <c r="J61" s="79"/>
      <c r="L61" s="140"/>
    </row>
    <row r="62" spans="2:12">
      <c r="B62" s="204" t="s">
        <v>569</v>
      </c>
      <c r="C62" s="205"/>
      <c r="D62" t="s">
        <v>556</v>
      </c>
      <c r="E62" t="s">
        <v>187</v>
      </c>
      <c r="F62" t="s">
        <v>65</v>
      </c>
      <c r="G62" s="79">
        <f t="shared" si="4"/>
        <v>1.6949999999999998</v>
      </c>
      <c r="H62" s="79">
        <f t="shared" si="5"/>
        <v>1.1299999999999999</v>
      </c>
      <c r="I62" s="79">
        <v>1.1299999999999999</v>
      </c>
      <c r="J62" s="79"/>
      <c r="L62" s="140"/>
    </row>
    <row r="63" spans="2:12">
      <c r="B63" s="204" t="s">
        <v>609</v>
      </c>
      <c r="C63" s="205"/>
      <c r="D63" t="s">
        <v>556</v>
      </c>
      <c r="E63" t="s">
        <v>187</v>
      </c>
      <c r="F63" t="s">
        <v>44</v>
      </c>
      <c r="G63" s="79">
        <f t="shared" si="4"/>
        <v>1.875</v>
      </c>
      <c r="H63" s="79">
        <f t="shared" si="5"/>
        <v>1.25</v>
      </c>
      <c r="I63" s="79"/>
      <c r="J63" s="79"/>
      <c r="K63" s="84">
        <v>1.25</v>
      </c>
      <c r="L63" s="140"/>
    </row>
    <row r="64" spans="2:12">
      <c r="B64" s="204" t="s">
        <v>569</v>
      </c>
      <c r="C64" s="205"/>
      <c r="D64" t="s">
        <v>556</v>
      </c>
      <c r="E64" t="s">
        <v>187</v>
      </c>
      <c r="F64" t="s">
        <v>45</v>
      </c>
      <c r="G64" s="79">
        <f t="shared" si="4"/>
        <v>2.7</v>
      </c>
      <c r="H64" s="79">
        <f t="shared" si="5"/>
        <v>1.8</v>
      </c>
      <c r="I64" s="79"/>
      <c r="J64" s="79">
        <v>1.8</v>
      </c>
      <c r="L64" s="140"/>
    </row>
    <row r="65" spans="2:12">
      <c r="B65" s="204" t="s">
        <v>629</v>
      </c>
      <c r="C65" s="205"/>
      <c r="D65" t="s">
        <v>556</v>
      </c>
      <c r="E65" t="s">
        <v>187</v>
      </c>
      <c r="F65" t="s">
        <v>43</v>
      </c>
      <c r="G65" s="79">
        <f t="shared" si="4"/>
        <v>1.7249999999999999</v>
      </c>
      <c r="H65" s="79">
        <f t="shared" si="5"/>
        <v>1.1499999999999999</v>
      </c>
      <c r="I65" s="79">
        <v>1.1000000000000001</v>
      </c>
      <c r="J65" s="79">
        <v>1.2</v>
      </c>
      <c r="L65" s="140"/>
    </row>
    <row r="66" spans="2:12">
      <c r="B66" s="204" t="s">
        <v>631</v>
      </c>
      <c r="C66" s="205"/>
      <c r="D66" t="s">
        <v>556</v>
      </c>
      <c r="E66" t="s">
        <v>187</v>
      </c>
      <c r="F66" t="s">
        <v>42</v>
      </c>
      <c r="G66" s="79">
        <f t="shared" si="4"/>
        <v>1.5</v>
      </c>
      <c r="H66" s="79">
        <f t="shared" si="5"/>
        <v>1</v>
      </c>
      <c r="I66" s="79"/>
      <c r="J66" s="79"/>
      <c r="K66" s="84">
        <v>1</v>
      </c>
      <c r="L66" s="140"/>
    </row>
    <row r="67" spans="2:12">
      <c r="B67" s="204" t="s">
        <v>589</v>
      </c>
      <c r="C67" s="205"/>
      <c r="D67" t="s">
        <v>142</v>
      </c>
      <c r="E67" t="s">
        <v>49</v>
      </c>
      <c r="F67" t="s">
        <v>367</v>
      </c>
      <c r="G67" s="79">
        <f t="shared" si="4"/>
        <v>1.5</v>
      </c>
      <c r="H67" s="79">
        <f t="shared" si="5"/>
        <v>1</v>
      </c>
      <c r="I67" s="79"/>
      <c r="J67" s="79"/>
      <c r="K67" s="84">
        <v>1</v>
      </c>
      <c r="L67" s="140"/>
    </row>
    <row r="68" spans="2:12" ht="17">
      <c r="B68" s="204" t="s">
        <v>600</v>
      </c>
      <c r="C68" s="205" t="s">
        <v>632</v>
      </c>
      <c r="D68" t="s">
        <v>142</v>
      </c>
      <c r="E68" t="s">
        <v>49</v>
      </c>
      <c r="F68" t="s">
        <v>95</v>
      </c>
      <c r="G68" s="79">
        <f t="shared" si="4"/>
        <v>1.5</v>
      </c>
      <c r="H68" s="79">
        <f t="shared" si="5"/>
        <v>1</v>
      </c>
      <c r="I68" s="79"/>
      <c r="J68" s="79"/>
      <c r="K68" s="84">
        <v>1</v>
      </c>
      <c r="L68" s="140"/>
    </row>
    <row r="69" spans="2:12">
      <c r="B69" s="204" t="s">
        <v>587</v>
      </c>
      <c r="C69" s="205"/>
      <c r="D69" t="s">
        <v>142</v>
      </c>
      <c r="E69" t="s">
        <v>49</v>
      </c>
      <c r="F69" t="s">
        <v>127</v>
      </c>
      <c r="G69" s="79">
        <f t="shared" si="4"/>
        <v>1.7999999999999998</v>
      </c>
      <c r="H69" s="79">
        <f t="shared" si="5"/>
        <v>1.2</v>
      </c>
      <c r="I69" s="79">
        <v>1.2</v>
      </c>
      <c r="J69" s="79"/>
      <c r="L69" s="140"/>
    </row>
    <row r="70" spans="2:12">
      <c r="B70" s="204" t="s">
        <v>633</v>
      </c>
      <c r="C70" s="205"/>
      <c r="D70" t="s">
        <v>142</v>
      </c>
      <c r="E70" t="s">
        <v>49</v>
      </c>
      <c r="F70" t="s">
        <v>117</v>
      </c>
      <c r="G70" s="79">
        <f t="shared" si="4"/>
        <v>1.6124999999999998</v>
      </c>
      <c r="H70" s="79">
        <f t="shared" si="5"/>
        <v>1.075</v>
      </c>
      <c r="I70" s="79">
        <v>1.25</v>
      </c>
      <c r="J70" s="79">
        <v>0.9</v>
      </c>
      <c r="L70" s="140"/>
    </row>
    <row r="71" spans="2:12">
      <c r="B71" s="204" t="s">
        <v>589</v>
      </c>
      <c r="C71" s="205"/>
      <c r="D71" t="s">
        <v>142</v>
      </c>
      <c r="E71" t="s">
        <v>49</v>
      </c>
      <c r="F71" t="s">
        <v>107</v>
      </c>
      <c r="G71" s="79">
        <f t="shared" si="4"/>
        <v>1.9500000000000002</v>
      </c>
      <c r="H71" s="79">
        <f t="shared" si="5"/>
        <v>1.3</v>
      </c>
      <c r="I71" s="79">
        <v>1.3</v>
      </c>
      <c r="J71" s="79"/>
      <c r="L71" s="140"/>
    </row>
    <row r="72" spans="2:12">
      <c r="B72" s="204" t="s">
        <v>634</v>
      </c>
      <c r="C72" s="205"/>
      <c r="D72" t="s">
        <v>556</v>
      </c>
      <c r="E72" t="s">
        <v>49</v>
      </c>
      <c r="F72" t="s">
        <v>56</v>
      </c>
      <c r="G72" s="75">
        <f t="shared" si="4"/>
        <v>2.625</v>
      </c>
      <c r="H72" s="79">
        <f t="shared" si="5"/>
        <v>1.75</v>
      </c>
      <c r="I72" s="79"/>
      <c r="J72" s="79"/>
      <c r="K72" s="79">
        <v>1.75</v>
      </c>
      <c r="L72" s="140"/>
    </row>
    <row r="73" spans="2:12">
      <c r="B73" s="204" t="s">
        <v>635</v>
      </c>
      <c r="C73" s="205"/>
      <c r="D73" t="s">
        <v>556</v>
      </c>
      <c r="E73" t="s">
        <v>49</v>
      </c>
      <c r="F73" t="s">
        <v>63</v>
      </c>
      <c r="G73" s="79">
        <f t="shared" ref="G73:G77" si="6">H73*(1+$F$3)</f>
        <v>1.8000000000000003</v>
      </c>
      <c r="H73" s="79">
        <f t="shared" ref="H73:H97" si="7">AVERAGE(I73:K73)</f>
        <v>1.2000000000000002</v>
      </c>
      <c r="I73" s="79">
        <v>1.1000000000000001</v>
      </c>
      <c r="J73" s="79">
        <v>1.3</v>
      </c>
      <c r="L73" s="140"/>
    </row>
    <row r="74" spans="2:12" ht="34">
      <c r="B74" s="204" t="s">
        <v>636</v>
      </c>
      <c r="C74" s="205" t="s">
        <v>637</v>
      </c>
      <c r="D74" t="s">
        <v>556</v>
      </c>
      <c r="E74" t="s">
        <v>49</v>
      </c>
      <c r="F74" t="s">
        <v>39</v>
      </c>
      <c r="G74" s="79">
        <f t="shared" si="6"/>
        <v>3</v>
      </c>
      <c r="H74" s="79">
        <f t="shared" si="7"/>
        <v>2</v>
      </c>
      <c r="I74" s="79">
        <v>2</v>
      </c>
      <c r="J74" s="79"/>
      <c r="L74" s="140"/>
    </row>
    <row r="75" spans="2:12" s="76" customFormat="1">
      <c r="B75" s="204" t="s">
        <v>587</v>
      </c>
      <c r="C75" s="205"/>
      <c r="D75" t="s">
        <v>142</v>
      </c>
      <c r="E75" t="s">
        <v>638</v>
      </c>
      <c r="F75" t="s">
        <v>139</v>
      </c>
      <c r="G75" s="79">
        <f t="shared" si="6"/>
        <v>2.625</v>
      </c>
      <c r="H75" s="79">
        <f t="shared" si="7"/>
        <v>1.75</v>
      </c>
      <c r="I75" s="79"/>
      <c r="J75" s="79"/>
      <c r="K75" s="84">
        <v>1.75</v>
      </c>
      <c r="L75" s="140"/>
    </row>
    <row r="76" spans="2:12">
      <c r="B76" s="204" t="s">
        <v>639</v>
      </c>
      <c r="C76" s="205"/>
      <c r="D76" t="s">
        <v>142</v>
      </c>
      <c r="E76" t="s">
        <v>638</v>
      </c>
      <c r="F76" t="s">
        <v>115</v>
      </c>
      <c r="G76" s="79">
        <f t="shared" si="6"/>
        <v>1.875</v>
      </c>
      <c r="H76" s="79">
        <f t="shared" si="7"/>
        <v>1.25</v>
      </c>
      <c r="I76" s="79">
        <v>1.25</v>
      </c>
      <c r="J76" s="79"/>
      <c r="L76" s="140"/>
    </row>
    <row r="77" spans="2:12" s="58" customFormat="1" ht="19">
      <c r="B77" s="204" t="s">
        <v>640</v>
      </c>
      <c r="C77" s="205"/>
      <c r="D77" t="s">
        <v>142</v>
      </c>
      <c r="E77" t="s">
        <v>638</v>
      </c>
      <c r="F77" t="s">
        <v>140</v>
      </c>
      <c r="G77" s="79">
        <f t="shared" si="6"/>
        <v>2.0999999999999996</v>
      </c>
      <c r="H77" s="79">
        <f t="shared" si="7"/>
        <v>1.4</v>
      </c>
      <c r="I77" s="83"/>
      <c r="J77" s="83"/>
      <c r="K77" s="84">
        <v>1.4</v>
      </c>
      <c r="L77" s="140"/>
    </row>
    <row r="78" spans="2:12" s="58" customFormat="1" ht="35">
      <c r="B78" s="204" t="s">
        <v>641</v>
      </c>
      <c r="C78" s="205" t="s">
        <v>642</v>
      </c>
      <c r="D78"/>
      <c r="E78"/>
      <c r="F78" t="s">
        <v>643</v>
      </c>
      <c r="G78" s="75"/>
      <c r="H78" s="75" t="e">
        <f t="shared" si="7"/>
        <v>#DIV/0!</v>
      </c>
      <c r="I78" s="79"/>
      <c r="J78" s="79"/>
      <c r="K78" s="140"/>
      <c r="L78" s="140"/>
    </row>
    <row r="79" spans="2:12">
      <c r="B79" t="s">
        <v>644</v>
      </c>
      <c r="D79" t="s">
        <v>142</v>
      </c>
      <c r="E79" t="s">
        <v>638</v>
      </c>
      <c r="F79" t="s">
        <v>138</v>
      </c>
      <c r="G79" s="79">
        <f t="shared" ref="G79:G86" si="8">H79*(1+$F$3)</f>
        <v>2.0999999999999996</v>
      </c>
      <c r="H79" s="79">
        <f t="shared" si="7"/>
        <v>1.4</v>
      </c>
      <c r="I79" s="79">
        <v>1.5</v>
      </c>
      <c r="J79" s="79">
        <v>1.3</v>
      </c>
      <c r="L79" s="140"/>
    </row>
    <row r="80" spans="2:12">
      <c r="B80" t="s">
        <v>645</v>
      </c>
      <c r="D80" t="s">
        <v>142</v>
      </c>
      <c r="E80" t="s">
        <v>638</v>
      </c>
      <c r="F80" t="s">
        <v>136</v>
      </c>
      <c r="G80" s="79">
        <f t="shared" si="8"/>
        <v>2.0999999999999996</v>
      </c>
      <c r="H80" s="79">
        <f t="shared" si="7"/>
        <v>1.4</v>
      </c>
      <c r="I80" s="79">
        <f>14/10</f>
        <v>1.4</v>
      </c>
      <c r="J80" s="79"/>
      <c r="L80" s="140"/>
    </row>
    <row r="81" spans="2:12">
      <c r="B81" t="s">
        <v>646</v>
      </c>
      <c r="D81" t="s">
        <v>142</v>
      </c>
      <c r="E81" t="s">
        <v>638</v>
      </c>
      <c r="F81" t="s">
        <v>132</v>
      </c>
      <c r="G81" s="79">
        <f t="shared" si="8"/>
        <v>2.8125</v>
      </c>
      <c r="H81" s="79">
        <f t="shared" si="7"/>
        <v>1.875</v>
      </c>
      <c r="I81" s="79">
        <f>22.5/10</f>
        <v>2.25</v>
      </c>
      <c r="J81" s="79"/>
      <c r="K81" s="84">
        <v>1.5</v>
      </c>
      <c r="L81" s="140"/>
    </row>
    <row r="82" spans="2:12">
      <c r="B82" t="s">
        <v>568</v>
      </c>
      <c r="D82" t="s">
        <v>556</v>
      </c>
      <c r="E82" t="s">
        <v>638</v>
      </c>
      <c r="F82" t="s">
        <v>647</v>
      </c>
      <c r="G82" s="79">
        <f t="shared" si="8"/>
        <v>1.6500000000000001</v>
      </c>
      <c r="H82" s="79">
        <f t="shared" si="7"/>
        <v>1.1000000000000001</v>
      </c>
      <c r="I82" s="79"/>
      <c r="J82" s="79">
        <v>1.1000000000000001</v>
      </c>
      <c r="L82" s="140"/>
    </row>
    <row r="83" spans="2:12">
      <c r="B83" t="s">
        <v>629</v>
      </c>
      <c r="D83" t="s">
        <v>556</v>
      </c>
      <c r="E83" t="s">
        <v>638</v>
      </c>
      <c r="F83" t="s">
        <v>137</v>
      </c>
      <c r="G83" s="79">
        <f t="shared" si="8"/>
        <v>1.9500000000000002</v>
      </c>
      <c r="H83" s="79">
        <f t="shared" si="7"/>
        <v>1.3</v>
      </c>
      <c r="I83" s="79">
        <v>1.3</v>
      </c>
      <c r="J83" s="79"/>
      <c r="L83" s="140"/>
    </row>
    <row r="84" spans="2:12">
      <c r="B84" t="s">
        <v>569</v>
      </c>
      <c r="D84" t="s">
        <v>556</v>
      </c>
      <c r="E84" t="s">
        <v>638</v>
      </c>
      <c r="F84" t="s">
        <v>59</v>
      </c>
      <c r="G84" s="79">
        <f t="shared" si="8"/>
        <v>1.6500000000000001</v>
      </c>
      <c r="H84" s="79">
        <f t="shared" si="7"/>
        <v>1.1000000000000001</v>
      </c>
      <c r="I84" s="82"/>
      <c r="J84" s="79">
        <v>1.1000000000000001</v>
      </c>
      <c r="L84" s="140"/>
    </row>
    <row r="85" spans="2:12" ht="15.75" customHeight="1">
      <c r="B85" t="s">
        <v>648</v>
      </c>
      <c r="D85" t="s">
        <v>556</v>
      </c>
      <c r="E85" t="s">
        <v>638</v>
      </c>
      <c r="F85" t="s">
        <v>53</v>
      </c>
      <c r="G85" s="75">
        <f t="shared" si="8"/>
        <v>1.6500000000000001</v>
      </c>
      <c r="H85" s="79">
        <f t="shared" si="7"/>
        <v>1.1000000000000001</v>
      </c>
      <c r="I85" s="79">
        <v>1.1000000000000001</v>
      </c>
      <c r="J85" s="79"/>
      <c r="K85" s="79"/>
      <c r="L85" s="140"/>
    </row>
    <row r="86" spans="2:12">
      <c r="B86" t="s">
        <v>649</v>
      </c>
      <c r="D86" t="s">
        <v>556</v>
      </c>
      <c r="E86" t="s">
        <v>638</v>
      </c>
      <c r="F86" t="s">
        <v>64</v>
      </c>
      <c r="G86" s="79">
        <f t="shared" si="8"/>
        <v>2.25</v>
      </c>
      <c r="H86" s="79">
        <f t="shared" si="7"/>
        <v>1.5</v>
      </c>
      <c r="I86" s="79">
        <v>1.5</v>
      </c>
      <c r="J86" s="79"/>
      <c r="L86" s="140"/>
    </row>
    <row r="87" spans="2:12" ht="51">
      <c r="B87" t="s">
        <v>641</v>
      </c>
      <c r="C87" s="87" t="s">
        <v>650</v>
      </c>
      <c r="D87" t="s">
        <v>142</v>
      </c>
      <c r="F87" t="s">
        <v>651</v>
      </c>
      <c r="G87" s="75"/>
      <c r="H87" s="75" t="e">
        <f t="shared" si="7"/>
        <v>#DIV/0!</v>
      </c>
      <c r="I87" s="79"/>
      <c r="J87" s="79"/>
      <c r="K87" s="140"/>
      <c r="L87" s="140"/>
    </row>
    <row r="88" spans="2:12">
      <c r="B88" t="s">
        <v>652</v>
      </c>
      <c r="D88" t="s">
        <v>556</v>
      </c>
      <c r="F88" t="s">
        <v>52</v>
      </c>
      <c r="G88" s="75"/>
      <c r="H88" s="75" t="e">
        <f t="shared" si="7"/>
        <v>#DIV/0!</v>
      </c>
      <c r="I88" s="79"/>
      <c r="J88" s="79"/>
      <c r="K88" s="140"/>
      <c r="L88" s="140"/>
    </row>
    <row r="89" spans="2:12">
      <c r="B89" t="s">
        <v>568</v>
      </c>
      <c r="D89" t="s">
        <v>556</v>
      </c>
      <c r="F89" t="s">
        <v>653</v>
      </c>
      <c r="G89" s="75"/>
      <c r="H89" s="75" t="e">
        <f t="shared" si="7"/>
        <v>#DIV/0!</v>
      </c>
      <c r="I89" s="79"/>
      <c r="J89" s="79"/>
      <c r="K89" s="140"/>
      <c r="L89" s="140"/>
    </row>
    <row r="90" spans="2:12">
      <c r="B90" t="s">
        <v>636</v>
      </c>
      <c r="F90" t="s">
        <v>654</v>
      </c>
      <c r="G90" s="75"/>
      <c r="H90" s="75" t="e">
        <f t="shared" si="7"/>
        <v>#DIV/0!</v>
      </c>
      <c r="I90" s="79"/>
      <c r="J90" s="79"/>
      <c r="K90" s="140"/>
      <c r="L90" s="140"/>
    </row>
    <row r="91" spans="2:12">
      <c r="B91" t="s">
        <v>645</v>
      </c>
      <c r="F91" t="s">
        <v>87</v>
      </c>
      <c r="G91" s="75"/>
      <c r="H91" s="75" t="e">
        <f t="shared" si="7"/>
        <v>#DIV/0!</v>
      </c>
      <c r="I91" s="79"/>
      <c r="J91" s="79"/>
      <c r="K91" s="140"/>
      <c r="L91" s="140"/>
    </row>
    <row r="92" spans="2:12">
      <c r="B92" t="s">
        <v>636</v>
      </c>
      <c r="D92" t="s">
        <v>556</v>
      </c>
      <c r="F92" t="s">
        <v>655</v>
      </c>
      <c r="G92" s="75"/>
      <c r="H92" s="75" t="e">
        <f t="shared" si="7"/>
        <v>#DIV/0!</v>
      </c>
      <c r="I92" s="79"/>
      <c r="J92" s="79"/>
      <c r="K92" s="140"/>
      <c r="L92" s="140"/>
    </row>
    <row r="93" spans="2:12">
      <c r="B93" t="s">
        <v>656</v>
      </c>
      <c r="D93" t="s">
        <v>142</v>
      </c>
      <c r="F93" t="s">
        <v>102</v>
      </c>
      <c r="G93" s="75"/>
      <c r="H93" s="75" t="e">
        <f t="shared" si="7"/>
        <v>#DIV/0!</v>
      </c>
      <c r="I93" s="79"/>
      <c r="J93" s="79"/>
      <c r="K93" s="140"/>
      <c r="L93" s="140"/>
    </row>
    <row r="94" spans="2:12">
      <c r="F94" t="s">
        <v>657</v>
      </c>
      <c r="G94" s="141"/>
      <c r="H94" s="141" t="e">
        <f t="shared" si="7"/>
        <v>#DIV/0!</v>
      </c>
      <c r="I94" s="140"/>
      <c r="J94" s="140"/>
      <c r="K94" s="140"/>
      <c r="L94" s="140"/>
    </row>
    <row r="95" spans="2:12">
      <c r="F95" t="s">
        <v>658</v>
      </c>
      <c r="G95" s="141"/>
      <c r="H95" s="141" t="e">
        <f t="shared" si="7"/>
        <v>#DIV/0!</v>
      </c>
      <c r="I95" s="140"/>
      <c r="J95" s="140"/>
      <c r="K95" s="140"/>
      <c r="L95" s="140"/>
    </row>
    <row r="96" spans="2:12">
      <c r="B96" t="s">
        <v>569</v>
      </c>
      <c r="F96" t="s">
        <v>66</v>
      </c>
      <c r="G96" s="141"/>
      <c r="H96" s="141" t="e">
        <f t="shared" si="7"/>
        <v>#DIV/0!</v>
      </c>
      <c r="I96" s="140"/>
      <c r="J96" s="140"/>
      <c r="K96" s="140"/>
      <c r="L96" s="140"/>
    </row>
    <row r="97" spans="4:12">
      <c r="F97" t="s">
        <v>659</v>
      </c>
      <c r="G97" s="141"/>
      <c r="H97" s="141" t="e">
        <f t="shared" si="7"/>
        <v>#DIV/0!</v>
      </c>
      <c r="I97" s="140"/>
      <c r="J97" s="140"/>
      <c r="K97" s="140"/>
      <c r="L97" s="140"/>
    </row>
    <row r="98" spans="4:12">
      <c r="G98" s="75"/>
      <c r="H98" s="75"/>
      <c r="I98" s="79"/>
      <c r="J98" s="79"/>
      <c r="K98" s="140"/>
    </row>
    <row r="100" spans="4:12" ht="17">
      <c r="D100" s="77" t="s">
        <v>4</v>
      </c>
      <c r="E100" s="77" t="s">
        <v>5</v>
      </c>
      <c r="F100" s="77" t="s">
        <v>6</v>
      </c>
      <c r="G100" s="78" t="s">
        <v>7</v>
      </c>
      <c r="H100" s="78" t="s">
        <v>8</v>
      </c>
      <c r="I100" s="81" t="s">
        <v>9</v>
      </c>
      <c r="J100" s="81" t="s">
        <v>10</v>
      </c>
      <c r="K100" s="81" t="s">
        <v>11</v>
      </c>
    </row>
    <row r="101" spans="4:12">
      <c r="D101" t="s">
        <v>142</v>
      </c>
      <c r="E101" t="s">
        <v>22</v>
      </c>
      <c r="F101" t="s">
        <v>48</v>
      </c>
      <c r="G101" s="75">
        <f t="shared" ref="G101:G111" si="9">H101*(1+$F$3)</f>
        <v>2.9849999999999999</v>
      </c>
      <c r="H101" s="79">
        <f>AVERAGE(I101:K101)</f>
        <v>1.99</v>
      </c>
      <c r="I101" s="79"/>
      <c r="J101" s="79">
        <v>1.99</v>
      </c>
      <c r="K101" s="79"/>
    </row>
    <row r="102" spans="4:12">
      <c r="D102" t="s">
        <v>142</v>
      </c>
      <c r="E102" t="s">
        <v>22</v>
      </c>
      <c r="F102" t="s">
        <v>54</v>
      </c>
      <c r="G102" s="75">
        <f t="shared" si="9"/>
        <v>2.4749999999999996</v>
      </c>
      <c r="H102" s="79">
        <f t="shared" ref="H102:H111" si="10">AVERAGE(I102:K102)</f>
        <v>1.65</v>
      </c>
      <c r="I102" s="79"/>
      <c r="J102" s="79"/>
      <c r="K102" s="79">
        <v>1.65</v>
      </c>
    </row>
    <row r="103" spans="4:12">
      <c r="D103" t="s">
        <v>142</v>
      </c>
      <c r="E103" t="s">
        <v>22</v>
      </c>
      <c r="F103" t="s">
        <v>47</v>
      </c>
      <c r="G103" s="75">
        <f t="shared" si="9"/>
        <v>3.9000000000000004</v>
      </c>
      <c r="H103" s="79">
        <f t="shared" si="10"/>
        <v>2.6</v>
      </c>
      <c r="I103" s="79"/>
      <c r="J103" s="79">
        <v>2.6</v>
      </c>
      <c r="K103" s="79"/>
    </row>
    <row r="104" spans="4:12">
      <c r="D104" t="s">
        <v>556</v>
      </c>
      <c r="E104" t="s">
        <v>22</v>
      </c>
      <c r="F104" t="s">
        <v>24</v>
      </c>
      <c r="G104" s="75">
        <f t="shared" si="9"/>
        <v>6.1499999999999995</v>
      </c>
      <c r="H104" s="79">
        <f t="shared" si="10"/>
        <v>4.0999999999999996</v>
      </c>
      <c r="I104" s="79"/>
      <c r="J104" s="79"/>
      <c r="K104" s="79">
        <v>4.0999999999999996</v>
      </c>
    </row>
    <row r="105" spans="4:12">
      <c r="D105" t="s">
        <v>556</v>
      </c>
      <c r="E105" t="s">
        <v>22</v>
      </c>
      <c r="F105" t="s">
        <v>23</v>
      </c>
      <c r="G105" s="75">
        <f t="shared" si="9"/>
        <v>6.4499999999999993</v>
      </c>
      <c r="H105" s="79">
        <f t="shared" si="10"/>
        <v>4.3</v>
      </c>
      <c r="I105" s="79"/>
      <c r="J105" s="79"/>
      <c r="K105" s="79">
        <v>4.3</v>
      </c>
    </row>
    <row r="106" spans="4:12">
      <c r="D106" t="s">
        <v>556</v>
      </c>
      <c r="E106" t="s">
        <v>22</v>
      </c>
      <c r="F106" t="s">
        <v>25</v>
      </c>
      <c r="G106" s="75">
        <f t="shared" si="9"/>
        <v>5.9625000000000004</v>
      </c>
      <c r="H106" s="79">
        <f t="shared" si="10"/>
        <v>3.9750000000000001</v>
      </c>
      <c r="I106" s="79">
        <v>4</v>
      </c>
      <c r="J106" s="79">
        <v>3.95</v>
      </c>
      <c r="K106" s="79"/>
    </row>
    <row r="107" spans="4:12">
      <c r="D107" t="s">
        <v>556</v>
      </c>
      <c r="E107" t="s">
        <v>22</v>
      </c>
      <c r="F107" t="s">
        <v>70</v>
      </c>
      <c r="G107" s="75">
        <f t="shared" si="9"/>
        <v>5.9625000000000004</v>
      </c>
      <c r="H107" s="79">
        <f t="shared" si="10"/>
        <v>3.9750000000000001</v>
      </c>
      <c r="I107" s="79">
        <v>4</v>
      </c>
      <c r="J107" s="79">
        <v>3.95</v>
      </c>
      <c r="K107" s="79"/>
    </row>
    <row r="108" spans="4:12">
      <c r="D108" t="s">
        <v>556</v>
      </c>
      <c r="E108" t="s">
        <v>22</v>
      </c>
      <c r="F108" t="s">
        <v>71</v>
      </c>
      <c r="G108" s="75">
        <f t="shared" si="9"/>
        <v>6.7124999999999995</v>
      </c>
      <c r="H108" s="79">
        <f t="shared" si="10"/>
        <v>4.4749999999999996</v>
      </c>
      <c r="I108" s="79">
        <v>4</v>
      </c>
      <c r="J108" s="79">
        <v>4.95</v>
      </c>
      <c r="K108" s="79"/>
    </row>
    <row r="109" spans="4:12">
      <c r="D109" t="s">
        <v>556</v>
      </c>
      <c r="E109" t="s">
        <v>22</v>
      </c>
      <c r="F109" t="s">
        <v>73</v>
      </c>
      <c r="G109" s="75">
        <f t="shared" si="9"/>
        <v>4.9499999999999993</v>
      </c>
      <c r="H109" s="79">
        <f t="shared" si="10"/>
        <v>3.3</v>
      </c>
      <c r="I109" s="79">
        <v>3</v>
      </c>
      <c r="J109" s="79">
        <v>3.6</v>
      </c>
      <c r="K109" s="79"/>
    </row>
    <row r="110" spans="4:12">
      <c r="D110" t="s">
        <v>556</v>
      </c>
      <c r="E110" t="s">
        <v>22</v>
      </c>
      <c r="F110" t="s">
        <v>72</v>
      </c>
      <c r="G110" s="75">
        <f t="shared" si="9"/>
        <v>5.9625000000000004</v>
      </c>
      <c r="H110" s="79">
        <f t="shared" si="10"/>
        <v>3.9750000000000001</v>
      </c>
      <c r="I110" s="79">
        <v>4</v>
      </c>
      <c r="J110" s="79">
        <v>3.95</v>
      </c>
      <c r="K110" s="79"/>
    </row>
    <row r="111" spans="4:12">
      <c r="D111" t="s">
        <v>556</v>
      </c>
      <c r="E111" t="s">
        <v>22</v>
      </c>
      <c r="F111" t="s">
        <v>74</v>
      </c>
      <c r="G111" s="75">
        <f t="shared" si="9"/>
        <v>4.9875000000000007</v>
      </c>
      <c r="H111" s="79">
        <f t="shared" si="10"/>
        <v>3.3250000000000002</v>
      </c>
      <c r="I111" s="79">
        <v>3</v>
      </c>
      <c r="J111" s="79">
        <v>3.65</v>
      </c>
      <c r="K111" s="79"/>
    </row>
    <row r="113" spans="4:11">
      <c r="D113" s="91" t="s">
        <v>142</v>
      </c>
      <c r="E113" s="91" t="s">
        <v>554</v>
      </c>
      <c r="F113" s="91" t="s">
        <v>555</v>
      </c>
      <c r="G113" s="92">
        <f>AVERAGE(G101:G103)</f>
        <v>3.1199999999999997</v>
      </c>
      <c r="H113" s="93">
        <f>AVERAGE(H101:H103)</f>
        <v>2.08</v>
      </c>
    </row>
    <row r="114" spans="4:11">
      <c r="D114" s="91" t="s">
        <v>556</v>
      </c>
      <c r="E114" s="91" t="s">
        <v>554</v>
      </c>
      <c r="F114" s="91" t="s">
        <v>555</v>
      </c>
      <c r="G114" s="92">
        <f>AVERAGE(G104:G111)</f>
        <v>5.8921875000000004</v>
      </c>
      <c r="H114" s="93">
        <f>AVERAGE(H104:H111)</f>
        <v>3.9281249999999996</v>
      </c>
    </row>
    <row r="117" spans="4:11" ht="17">
      <c r="D117" s="77" t="s">
        <v>4</v>
      </c>
      <c r="E117" s="77" t="s">
        <v>5</v>
      </c>
      <c r="F117" s="77" t="s">
        <v>6</v>
      </c>
      <c r="G117" s="78" t="s">
        <v>7</v>
      </c>
      <c r="H117" s="78" t="s">
        <v>8</v>
      </c>
      <c r="I117" s="81" t="s">
        <v>9</v>
      </c>
      <c r="J117" s="81" t="s">
        <v>10</v>
      </c>
      <c r="K117" s="81" t="s">
        <v>11</v>
      </c>
    </row>
    <row r="118" spans="4:11">
      <c r="D118" t="s">
        <v>142</v>
      </c>
      <c r="E118" t="s">
        <v>598</v>
      </c>
      <c r="F118" t="s">
        <v>89</v>
      </c>
      <c r="G118" s="75">
        <f t="shared" ref="G118:G147" si="11">H118*(1+$F$3)</f>
        <v>1.5</v>
      </c>
      <c r="H118" s="79">
        <f t="shared" ref="H118:H147" si="12">AVERAGE(I118:K118)</f>
        <v>1</v>
      </c>
      <c r="I118" s="79"/>
      <c r="J118" s="79">
        <v>1</v>
      </c>
      <c r="K118" s="79"/>
    </row>
    <row r="119" spans="4:11">
      <c r="D119" t="s">
        <v>142</v>
      </c>
      <c r="E119" t="s">
        <v>598</v>
      </c>
      <c r="F119" t="s">
        <v>37</v>
      </c>
      <c r="G119" s="75">
        <f t="shared" si="11"/>
        <v>2.6850000000000001</v>
      </c>
      <c r="H119" s="79">
        <f t="shared" si="12"/>
        <v>1.79</v>
      </c>
      <c r="I119" s="79"/>
      <c r="J119" s="79">
        <v>1.79</v>
      </c>
      <c r="K119" s="79"/>
    </row>
    <row r="120" spans="4:11">
      <c r="D120" t="s">
        <v>142</v>
      </c>
      <c r="E120" t="s">
        <v>598</v>
      </c>
      <c r="F120" t="s">
        <v>84</v>
      </c>
      <c r="G120" s="75">
        <f t="shared" si="11"/>
        <v>3.1500000000000004</v>
      </c>
      <c r="H120" s="79">
        <f t="shared" si="12"/>
        <v>2.1</v>
      </c>
      <c r="I120" s="79"/>
      <c r="J120" s="79"/>
      <c r="K120" s="79">
        <v>2.1</v>
      </c>
    </row>
    <row r="121" spans="4:11">
      <c r="D121" t="s">
        <v>142</v>
      </c>
      <c r="E121" t="s">
        <v>598</v>
      </c>
      <c r="F121" t="s">
        <v>83</v>
      </c>
      <c r="G121" s="75">
        <f t="shared" si="11"/>
        <v>4.5</v>
      </c>
      <c r="H121" s="79">
        <f t="shared" si="12"/>
        <v>3</v>
      </c>
      <c r="I121" s="79">
        <v>3</v>
      </c>
      <c r="J121" s="79"/>
      <c r="K121" s="79"/>
    </row>
    <row r="122" spans="4:11">
      <c r="D122" t="s">
        <v>142</v>
      </c>
      <c r="E122" t="s">
        <v>598</v>
      </c>
      <c r="F122" t="s">
        <v>88</v>
      </c>
      <c r="G122" s="75">
        <f t="shared" si="11"/>
        <v>2.0999999999999996</v>
      </c>
      <c r="H122" s="79">
        <f t="shared" si="12"/>
        <v>1.4</v>
      </c>
      <c r="I122" s="79">
        <v>1.4</v>
      </c>
      <c r="J122" s="79"/>
      <c r="K122" s="79"/>
    </row>
    <row r="123" spans="4:11">
      <c r="D123" t="s">
        <v>142</v>
      </c>
      <c r="E123" t="s">
        <v>598</v>
      </c>
      <c r="F123" t="s">
        <v>80</v>
      </c>
      <c r="G123" s="75">
        <f t="shared" si="11"/>
        <v>1.875</v>
      </c>
      <c r="H123" s="79">
        <f t="shared" si="12"/>
        <v>1.25</v>
      </c>
      <c r="I123" s="79">
        <v>1.3</v>
      </c>
      <c r="J123" s="79">
        <v>1.2</v>
      </c>
      <c r="K123" s="79"/>
    </row>
    <row r="124" spans="4:11">
      <c r="D124" t="s">
        <v>142</v>
      </c>
      <c r="E124" t="s">
        <v>598</v>
      </c>
      <c r="F124" t="s">
        <v>85</v>
      </c>
      <c r="G124" s="75">
        <f t="shared" si="11"/>
        <v>1.5</v>
      </c>
      <c r="H124" s="79">
        <f t="shared" si="12"/>
        <v>1</v>
      </c>
      <c r="I124" s="79"/>
      <c r="J124" s="79"/>
      <c r="K124" s="79">
        <v>1</v>
      </c>
    </row>
    <row r="125" spans="4:11">
      <c r="D125" t="s">
        <v>142</v>
      </c>
      <c r="E125" t="s">
        <v>598</v>
      </c>
      <c r="F125" t="s">
        <v>77</v>
      </c>
      <c r="G125" s="75">
        <f t="shared" si="11"/>
        <v>1.7999999999999998</v>
      </c>
      <c r="H125" s="79">
        <f t="shared" si="12"/>
        <v>1.2</v>
      </c>
      <c r="I125" s="79">
        <v>1.4</v>
      </c>
      <c r="J125" s="79"/>
      <c r="K125" s="79">
        <v>1</v>
      </c>
    </row>
    <row r="126" spans="4:11">
      <c r="D126" t="s">
        <v>142</v>
      </c>
      <c r="E126" t="s">
        <v>598</v>
      </c>
      <c r="F126" t="s">
        <v>78</v>
      </c>
      <c r="G126" s="75">
        <f t="shared" si="11"/>
        <v>2.0999999999999996</v>
      </c>
      <c r="H126" s="79">
        <f t="shared" si="12"/>
        <v>1.4</v>
      </c>
      <c r="I126" s="79"/>
      <c r="J126" s="79"/>
      <c r="K126" s="79">
        <v>1.4</v>
      </c>
    </row>
    <row r="127" spans="4:11">
      <c r="D127" t="s">
        <v>142</v>
      </c>
      <c r="E127" t="s">
        <v>598</v>
      </c>
      <c r="F127" t="s">
        <v>91</v>
      </c>
      <c r="G127" s="75">
        <f t="shared" si="11"/>
        <v>1.6500000000000001</v>
      </c>
      <c r="H127" s="79">
        <f t="shared" si="12"/>
        <v>1.1000000000000001</v>
      </c>
      <c r="I127" s="79">
        <v>1.2</v>
      </c>
      <c r="J127" s="79"/>
      <c r="K127" s="79">
        <v>1</v>
      </c>
    </row>
    <row r="128" spans="4:11">
      <c r="D128" t="s">
        <v>142</v>
      </c>
      <c r="E128" t="s">
        <v>598</v>
      </c>
      <c r="F128" t="s">
        <v>86</v>
      </c>
      <c r="G128" s="75">
        <f t="shared" si="11"/>
        <v>3.3562499999999997</v>
      </c>
      <c r="H128" s="79">
        <f t="shared" si="12"/>
        <v>2.2374999999999998</v>
      </c>
      <c r="I128" s="79">
        <f>17.25/10</f>
        <v>1.7250000000000001</v>
      </c>
      <c r="J128" s="79">
        <v>2.75</v>
      </c>
      <c r="K128" s="79"/>
    </row>
    <row r="129" spans="4:11">
      <c r="D129" t="s">
        <v>142</v>
      </c>
      <c r="E129" t="s">
        <v>598</v>
      </c>
      <c r="F129" t="s">
        <v>118</v>
      </c>
      <c r="G129" s="75">
        <f t="shared" si="11"/>
        <v>2.5875000000000004</v>
      </c>
      <c r="H129" s="79">
        <f t="shared" si="12"/>
        <v>1.7250000000000001</v>
      </c>
      <c r="I129" s="79">
        <v>1.55</v>
      </c>
      <c r="J129" s="79">
        <v>1.9</v>
      </c>
      <c r="K129" s="79"/>
    </row>
    <row r="130" spans="4:11">
      <c r="D130" t="s">
        <v>142</v>
      </c>
      <c r="E130" t="s">
        <v>598</v>
      </c>
      <c r="F130" t="s">
        <v>81</v>
      </c>
      <c r="G130" s="75">
        <f t="shared" si="11"/>
        <v>2.4000000000000004</v>
      </c>
      <c r="H130" s="79">
        <f t="shared" si="12"/>
        <v>1.6</v>
      </c>
      <c r="I130" s="79"/>
      <c r="J130" s="79">
        <v>1.6</v>
      </c>
      <c r="K130" s="79"/>
    </row>
    <row r="131" spans="4:11">
      <c r="D131" t="s">
        <v>142</v>
      </c>
      <c r="E131" t="s">
        <v>598</v>
      </c>
      <c r="F131" t="s">
        <v>122</v>
      </c>
      <c r="G131" s="75">
        <f t="shared" si="11"/>
        <v>3.5999999999999996</v>
      </c>
      <c r="H131" s="79">
        <f t="shared" si="12"/>
        <v>2.4</v>
      </c>
      <c r="I131" s="79"/>
      <c r="J131" s="79">
        <v>2.4</v>
      </c>
      <c r="K131" s="79"/>
    </row>
    <row r="132" spans="4:11">
      <c r="D132" t="s">
        <v>142</v>
      </c>
      <c r="E132" t="s">
        <v>598</v>
      </c>
      <c r="F132" t="s">
        <v>125</v>
      </c>
      <c r="G132" s="75">
        <f t="shared" si="11"/>
        <v>2.2574999999999998</v>
      </c>
      <c r="H132" s="79">
        <f t="shared" si="12"/>
        <v>1.5049999999999999</v>
      </c>
      <c r="I132" s="79">
        <v>1.3</v>
      </c>
      <c r="J132" s="79">
        <v>1.71</v>
      </c>
      <c r="K132" s="79"/>
    </row>
    <row r="133" spans="4:11">
      <c r="D133" t="s">
        <v>142</v>
      </c>
      <c r="E133" t="s">
        <v>598</v>
      </c>
      <c r="F133" t="s">
        <v>82</v>
      </c>
      <c r="G133" s="75">
        <f t="shared" si="11"/>
        <v>2.4000000000000004</v>
      </c>
      <c r="H133" s="79">
        <f t="shared" si="12"/>
        <v>1.6</v>
      </c>
      <c r="I133" s="79">
        <v>1.4</v>
      </c>
      <c r="J133" s="79">
        <v>1.8</v>
      </c>
      <c r="K133" s="79"/>
    </row>
    <row r="134" spans="4:11">
      <c r="D134" t="s">
        <v>556</v>
      </c>
      <c r="E134" t="s">
        <v>598</v>
      </c>
      <c r="F134" t="s">
        <v>32</v>
      </c>
      <c r="G134" s="75">
        <f t="shared" si="11"/>
        <v>3.0749999999999997</v>
      </c>
      <c r="H134" s="79">
        <f t="shared" si="12"/>
        <v>2.0499999999999998</v>
      </c>
      <c r="I134" s="79"/>
      <c r="J134" s="79">
        <v>2.0499999999999998</v>
      </c>
      <c r="K134" s="79"/>
    </row>
    <row r="135" spans="4:11">
      <c r="D135" t="s">
        <v>556</v>
      </c>
      <c r="E135" t="s">
        <v>598</v>
      </c>
      <c r="F135" t="s">
        <v>27</v>
      </c>
      <c r="G135" s="75">
        <f t="shared" si="11"/>
        <v>2.8499999999999996</v>
      </c>
      <c r="H135" s="79">
        <f t="shared" si="12"/>
        <v>1.9</v>
      </c>
      <c r="I135" s="79"/>
      <c r="J135" s="79">
        <v>1.9</v>
      </c>
      <c r="K135" s="79"/>
    </row>
    <row r="136" spans="4:11">
      <c r="D136" t="s">
        <v>556</v>
      </c>
      <c r="E136" t="s">
        <v>598</v>
      </c>
      <c r="F136" t="s">
        <v>31</v>
      </c>
      <c r="G136" s="75">
        <f t="shared" si="11"/>
        <v>2.25</v>
      </c>
      <c r="H136" s="79">
        <f t="shared" si="12"/>
        <v>1.5</v>
      </c>
      <c r="I136" s="79"/>
      <c r="J136" s="79"/>
      <c r="K136" s="79">
        <f>15/10</f>
        <v>1.5</v>
      </c>
    </row>
    <row r="137" spans="4:11">
      <c r="D137" t="s">
        <v>556</v>
      </c>
      <c r="E137" t="s">
        <v>598</v>
      </c>
      <c r="F137" t="s">
        <v>562</v>
      </c>
      <c r="G137" s="75">
        <f t="shared" si="11"/>
        <v>1.4249999999999998</v>
      </c>
      <c r="H137" s="79">
        <f t="shared" si="12"/>
        <v>0.95</v>
      </c>
      <c r="I137" s="79"/>
      <c r="J137" s="79"/>
      <c r="K137" s="79">
        <f>9.5/10</f>
        <v>0.95</v>
      </c>
    </row>
    <row r="138" spans="4:11">
      <c r="D138" t="s">
        <v>556</v>
      </c>
      <c r="E138" t="s">
        <v>598</v>
      </c>
      <c r="F138" t="s">
        <v>29</v>
      </c>
      <c r="G138" s="75">
        <f t="shared" si="11"/>
        <v>1.5</v>
      </c>
      <c r="H138" s="79">
        <f t="shared" si="12"/>
        <v>1</v>
      </c>
      <c r="I138" s="79">
        <v>1.1000000000000001</v>
      </c>
      <c r="J138" s="79">
        <v>0.9</v>
      </c>
      <c r="K138" s="79"/>
    </row>
    <row r="139" spans="4:11">
      <c r="D139" t="s">
        <v>556</v>
      </c>
      <c r="E139" t="s">
        <v>598</v>
      </c>
      <c r="F139" t="s">
        <v>40</v>
      </c>
      <c r="G139" s="75">
        <f t="shared" si="11"/>
        <v>2.1749999999999998</v>
      </c>
      <c r="H139" s="79">
        <f t="shared" si="12"/>
        <v>1.45</v>
      </c>
      <c r="I139" s="79">
        <v>1.4</v>
      </c>
      <c r="J139" s="79">
        <v>1.5</v>
      </c>
      <c r="K139" s="79"/>
    </row>
    <row r="140" spans="4:11">
      <c r="D140" t="s">
        <v>556</v>
      </c>
      <c r="E140" t="s">
        <v>598</v>
      </c>
      <c r="F140" t="s">
        <v>120</v>
      </c>
      <c r="G140" s="75">
        <f t="shared" si="11"/>
        <v>2.5499999999999998</v>
      </c>
      <c r="H140" s="79">
        <f t="shared" si="12"/>
        <v>1.7</v>
      </c>
      <c r="I140" s="79">
        <v>1.4</v>
      </c>
      <c r="J140" s="79">
        <v>2</v>
      </c>
      <c r="K140" s="79"/>
    </row>
    <row r="141" spans="4:11">
      <c r="D141" t="s">
        <v>556</v>
      </c>
      <c r="E141" t="s">
        <v>598</v>
      </c>
      <c r="F141" t="s">
        <v>58</v>
      </c>
      <c r="G141" s="75">
        <f t="shared" si="11"/>
        <v>1.6875</v>
      </c>
      <c r="H141" s="79">
        <f t="shared" si="12"/>
        <v>1.125</v>
      </c>
      <c r="I141" s="79">
        <v>0.75</v>
      </c>
      <c r="J141" s="79">
        <v>1.5</v>
      </c>
      <c r="K141" s="79"/>
    </row>
    <row r="142" spans="4:11">
      <c r="D142" t="s">
        <v>556</v>
      </c>
      <c r="E142" t="s">
        <v>598</v>
      </c>
      <c r="F142" t="s">
        <v>57</v>
      </c>
      <c r="G142" s="75">
        <f t="shared" si="11"/>
        <v>1.875</v>
      </c>
      <c r="H142" s="79">
        <f t="shared" si="12"/>
        <v>1.25</v>
      </c>
      <c r="I142" s="79">
        <v>1.1000000000000001</v>
      </c>
      <c r="J142" s="79">
        <v>1.4</v>
      </c>
      <c r="K142" s="79"/>
    </row>
    <row r="143" spans="4:11">
      <c r="D143" t="s">
        <v>556</v>
      </c>
      <c r="E143" t="s">
        <v>598</v>
      </c>
      <c r="F143" t="s">
        <v>62</v>
      </c>
      <c r="G143" s="75">
        <f t="shared" si="11"/>
        <v>2.2125000000000004</v>
      </c>
      <c r="H143" s="79">
        <f t="shared" si="12"/>
        <v>1.4750000000000001</v>
      </c>
      <c r="I143" s="79">
        <v>1.25</v>
      </c>
      <c r="J143" s="79">
        <v>1.7</v>
      </c>
      <c r="K143" s="79"/>
    </row>
    <row r="144" spans="4:11">
      <c r="D144" t="s">
        <v>556</v>
      </c>
      <c r="E144" t="s">
        <v>598</v>
      </c>
      <c r="F144" t="s">
        <v>67</v>
      </c>
      <c r="G144" s="75">
        <f t="shared" si="11"/>
        <v>1.9500000000000002</v>
      </c>
      <c r="H144" s="79">
        <f t="shared" si="12"/>
        <v>1.3</v>
      </c>
      <c r="I144" s="79"/>
      <c r="J144" s="79">
        <v>1.3</v>
      </c>
      <c r="K144" s="79"/>
    </row>
    <row r="145" spans="4:11">
      <c r="D145" t="s">
        <v>556</v>
      </c>
      <c r="E145" t="s">
        <v>598</v>
      </c>
      <c r="F145" t="s">
        <v>68</v>
      </c>
      <c r="G145" s="75">
        <f t="shared" si="11"/>
        <v>3</v>
      </c>
      <c r="H145" s="79">
        <f t="shared" si="12"/>
        <v>2</v>
      </c>
      <c r="I145" s="79"/>
      <c r="J145" s="79"/>
      <c r="K145" s="79">
        <v>2</v>
      </c>
    </row>
    <row r="146" spans="4:11">
      <c r="D146" t="s">
        <v>556</v>
      </c>
      <c r="E146" t="s">
        <v>598</v>
      </c>
      <c r="F146" t="s">
        <v>35</v>
      </c>
      <c r="G146" s="79">
        <f t="shared" si="11"/>
        <v>3</v>
      </c>
      <c r="H146" s="79">
        <f t="shared" si="12"/>
        <v>2</v>
      </c>
      <c r="I146" s="79"/>
      <c r="J146" s="79"/>
      <c r="K146" s="79">
        <v>2</v>
      </c>
    </row>
    <row r="147" spans="4:11">
      <c r="D147" t="s">
        <v>556</v>
      </c>
      <c r="E147" t="s">
        <v>598</v>
      </c>
      <c r="F147" t="s">
        <v>577</v>
      </c>
      <c r="G147" s="75">
        <f t="shared" si="11"/>
        <v>2.7</v>
      </c>
      <c r="H147" s="79">
        <f t="shared" si="12"/>
        <v>1.8</v>
      </c>
      <c r="I147" s="79">
        <v>1.8</v>
      </c>
      <c r="J147" s="79"/>
      <c r="K147" s="79"/>
    </row>
    <row r="149" spans="4:11">
      <c r="D149" s="91" t="s">
        <v>142</v>
      </c>
      <c r="E149" s="91" t="s">
        <v>660</v>
      </c>
      <c r="F149" s="91" t="s">
        <v>555</v>
      </c>
      <c r="G149" s="92">
        <f>AVERAGE(G118:G133)</f>
        <v>2.466328125</v>
      </c>
      <c r="H149" s="93">
        <f>AVERAGE(H118:H133)</f>
        <v>1.6442187500000001</v>
      </c>
    </row>
    <row r="150" spans="4:11">
      <c r="D150" s="91" t="s">
        <v>556</v>
      </c>
      <c r="E150" s="91" t="s">
        <v>660</v>
      </c>
      <c r="F150" s="91" t="s">
        <v>555</v>
      </c>
      <c r="G150" s="92">
        <f>AVERAGE(G134:G147)</f>
        <v>2.3035714285714284</v>
      </c>
      <c r="H150" s="93">
        <f>AVERAGE(H134:H147)</f>
        <v>1.5357142857142858</v>
      </c>
    </row>
    <row r="153" spans="4:11" ht="17">
      <c r="D153" s="77" t="s">
        <v>4</v>
      </c>
      <c r="E153" s="77" t="s">
        <v>5</v>
      </c>
      <c r="F153" s="77" t="s">
        <v>6</v>
      </c>
      <c r="G153" s="78" t="s">
        <v>7</v>
      </c>
      <c r="H153" s="78" t="s">
        <v>8</v>
      </c>
      <c r="I153" s="81" t="s">
        <v>9</v>
      </c>
      <c r="J153" s="81" t="s">
        <v>10</v>
      </c>
      <c r="K153" s="81" t="s">
        <v>11</v>
      </c>
    </row>
    <row r="154" spans="4:11">
      <c r="D154" t="s">
        <v>142</v>
      </c>
      <c r="E154" t="s">
        <v>33</v>
      </c>
      <c r="F154" t="s">
        <v>100</v>
      </c>
      <c r="G154" s="79">
        <f t="shared" ref="G154:G161" si="13">H154*(1+$F$3)</f>
        <v>3.9950000000000001</v>
      </c>
      <c r="H154" s="79">
        <f t="shared" ref="H154:H161" si="14">AVERAGE(I154:K154)</f>
        <v>2.6633333333333336</v>
      </c>
      <c r="I154" s="79">
        <v>2.5</v>
      </c>
      <c r="J154" s="79">
        <v>2.99</v>
      </c>
      <c r="K154" s="84">
        <v>2.5</v>
      </c>
    </row>
    <row r="155" spans="4:11">
      <c r="D155" t="s">
        <v>142</v>
      </c>
      <c r="E155" t="s">
        <v>33</v>
      </c>
      <c r="F155" t="s">
        <v>97</v>
      </c>
      <c r="G155" s="79">
        <f t="shared" si="13"/>
        <v>1.7249999999999999</v>
      </c>
      <c r="H155" s="79">
        <f t="shared" si="14"/>
        <v>1.1499999999999999</v>
      </c>
      <c r="I155" s="79">
        <v>1.3</v>
      </c>
      <c r="J155" s="79">
        <v>1</v>
      </c>
    </row>
    <row r="156" spans="4:11">
      <c r="D156" t="s">
        <v>142</v>
      </c>
      <c r="E156" t="s">
        <v>33</v>
      </c>
      <c r="F156" t="s">
        <v>99</v>
      </c>
      <c r="G156" s="79">
        <f t="shared" si="13"/>
        <v>1.7999999999999998</v>
      </c>
      <c r="H156" s="79">
        <f t="shared" si="14"/>
        <v>1.2</v>
      </c>
      <c r="I156" s="79"/>
      <c r="J156" s="79"/>
      <c r="K156" s="84">
        <v>1.2</v>
      </c>
    </row>
    <row r="157" spans="4:11">
      <c r="D157" t="s">
        <v>142</v>
      </c>
      <c r="E157" t="s">
        <v>33</v>
      </c>
      <c r="F157" t="s">
        <v>96</v>
      </c>
      <c r="G157" s="79">
        <f t="shared" si="13"/>
        <v>1.6500000000000001</v>
      </c>
      <c r="H157" s="79">
        <f t="shared" si="14"/>
        <v>1.1000000000000001</v>
      </c>
      <c r="I157" s="79"/>
      <c r="J157" s="79">
        <v>1.1000000000000001</v>
      </c>
    </row>
    <row r="158" spans="4:11">
      <c r="D158" t="s">
        <v>661</v>
      </c>
      <c r="E158" t="s">
        <v>33</v>
      </c>
      <c r="F158" t="s">
        <v>95</v>
      </c>
      <c r="G158" s="79">
        <f t="shared" si="13"/>
        <v>1.7999999999999998</v>
      </c>
      <c r="H158" s="79">
        <f t="shared" si="14"/>
        <v>1.2</v>
      </c>
      <c r="I158" s="79"/>
      <c r="J158" s="79"/>
      <c r="K158" s="84">
        <v>1.2</v>
      </c>
    </row>
    <row r="159" spans="4:11">
      <c r="D159" t="s">
        <v>661</v>
      </c>
      <c r="E159" t="s">
        <v>33</v>
      </c>
      <c r="F159" t="s">
        <v>39</v>
      </c>
      <c r="G159" s="79">
        <f t="shared" si="13"/>
        <v>2.25</v>
      </c>
      <c r="H159" s="79">
        <f t="shared" si="14"/>
        <v>1.5</v>
      </c>
      <c r="I159" s="79"/>
      <c r="J159" s="79"/>
      <c r="K159" s="84">
        <v>1.5</v>
      </c>
    </row>
    <row r="160" spans="4:11">
      <c r="D160" t="s">
        <v>556</v>
      </c>
      <c r="E160" t="s">
        <v>33</v>
      </c>
      <c r="F160" t="s">
        <v>69</v>
      </c>
      <c r="G160" s="79">
        <f t="shared" si="13"/>
        <v>1.9500000000000002</v>
      </c>
      <c r="H160" s="79">
        <f t="shared" si="14"/>
        <v>1.3</v>
      </c>
      <c r="I160" s="79">
        <v>1.3</v>
      </c>
      <c r="J160" s="79"/>
    </row>
    <row r="161" spans="4:11">
      <c r="D161" t="s">
        <v>556</v>
      </c>
      <c r="E161" t="s">
        <v>33</v>
      </c>
      <c r="F161" t="s">
        <v>75</v>
      </c>
      <c r="G161" s="79">
        <f t="shared" si="13"/>
        <v>1.5750000000000002</v>
      </c>
      <c r="H161" s="79">
        <f t="shared" si="14"/>
        <v>1.05</v>
      </c>
      <c r="I161" s="79">
        <v>1.1000000000000001</v>
      </c>
      <c r="J161" s="79">
        <v>1</v>
      </c>
    </row>
    <row r="163" spans="4:11">
      <c r="D163" s="91" t="s">
        <v>142</v>
      </c>
      <c r="E163" s="91" t="s">
        <v>145</v>
      </c>
      <c r="F163" s="91" t="s">
        <v>555</v>
      </c>
      <c r="G163" s="93">
        <f>AVERAGE(Table5[Retail Price])</f>
        <v>2.0931249999999997</v>
      </c>
      <c r="H163" s="93">
        <f>AVERAGE(H154:H157)</f>
        <v>1.5283333333333333</v>
      </c>
    </row>
    <row r="164" spans="4:11">
      <c r="D164" s="91" t="s">
        <v>556</v>
      </c>
      <c r="E164" s="91" t="s">
        <v>145</v>
      </c>
      <c r="F164" s="91" t="s">
        <v>555</v>
      </c>
      <c r="G164" s="93">
        <f>AVERAGE(G160:G161)</f>
        <v>1.7625000000000002</v>
      </c>
      <c r="H164" s="93">
        <f>AVERAGE(H160:H161)</f>
        <v>1.175</v>
      </c>
    </row>
    <row r="167" spans="4:11" ht="17">
      <c r="D167" s="77" t="s">
        <v>4</v>
      </c>
      <c r="E167" s="77" t="s">
        <v>5</v>
      </c>
      <c r="F167" s="77" t="s">
        <v>6</v>
      </c>
      <c r="G167" s="78" t="s">
        <v>7</v>
      </c>
      <c r="H167" s="78" t="s">
        <v>8</v>
      </c>
      <c r="I167" s="81" t="s">
        <v>9</v>
      </c>
      <c r="J167" s="81" t="s">
        <v>10</v>
      </c>
      <c r="K167" s="81" t="s">
        <v>11</v>
      </c>
    </row>
    <row r="168" spans="4:11">
      <c r="D168" t="s">
        <v>142</v>
      </c>
      <c r="E168" t="s">
        <v>187</v>
      </c>
      <c r="F168" t="s">
        <v>105</v>
      </c>
      <c r="G168" s="79">
        <f t="shared" ref="G168:G181" si="15">H168*(1+$F$3)</f>
        <v>1.9500000000000002</v>
      </c>
      <c r="H168" s="79">
        <f t="shared" ref="H168:H181" si="16">AVERAGE(I168:K168)</f>
        <v>1.3</v>
      </c>
      <c r="I168" s="79">
        <v>1.3</v>
      </c>
      <c r="J168" s="79"/>
    </row>
    <row r="169" spans="4:11">
      <c r="D169" t="s">
        <v>142</v>
      </c>
      <c r="E169" t="s">
        <v>187</v>
      </c>
      <c r="F169" t="s">
        <v>103</v>
      </c>
      <c r="G169" s="79">
        <f t="shared" si="15"/>
        <v>1.7999999999999998</v>
      </c>
      <c r="H169" s="79">
        <f t="shared" si="16"/>
        <v>1.2</v>
      </c>
      <c r="I169" s="79">
        <v>1.2</v>
      </c>
      <c r="J169" s="79"/>
    </row>
    <row r="170" spans="4:11">
      <c r="D170" t="s">
        <v>142</v>
      </c>
      <c r="E170" t="s">
        <v>187</v>
      </c>
      <c r="F170" t="s">
        <v>106</v>
      </c>
      <c r="G170" s="79">
        <f t="shared" si="15"/>
        <v>2.4000000000000004</v>
      </c>
      <c r="H170" s="79">
        <f t="shared" si="16"/>
        <v>1.6</v>
      </c>
      <c r="I170" s="79">
        <v>1.6</v>
      </c>
      <c r="J170" s="79"/>
    </row>
    <row r="171" spans="4:11">
      <c r="D171" t="s">
        <v>142</v>
      </c>
      <c r="E171" t="s">
        <v>187</v>
      </c>
      <c r="F171" t="s">
        <v>108</v>
      </c>
      <c r="G171" s="79">
        <f t="shared" si="15"/>
        <v>1.5750000000000002</v>
      </c>
      <c r="H171" s="79">
        <f t="shared" si="16"/>
        <v>1.05</v>
      </c>
      <c r="I171" s="79">
        <v>1.3</v>
      </c>
      <c r="J171" s="79">
        <v>0.8</v>
      </c>
    </row>
    <row r="172" spans="4:11">
      <c r="D172" t="s">
        <v>142</v>
      </c>
      <c r="E172" t="s">
        <v>187</v>
      </c>
      <c r="F172" t="s">
        <v>104</v>
      </c>
      <c r="G172" s="79">
        <f t="shared" si="15"/>
        <v>2.1749999999999998</v>
      </c>
      <c r="H172" s="79">
        <f t="shared" si="16"/>
        <v>1.45</v>
      </c>
      <c r="I172" s="79">
        <v>1.4</v>
      </c>
      <c r="J172" s="79">
        <v>1.5</v>
      </c>
    </row>
    <row r="173" spans="4:11">
      <c r="D173" t="s">
        <v>142</v>
      </c>
      <c r="E173" t="s">
        <v>187</v>
      </c>
      <c r="F173" t="s">
        <v>110</v>
      </c>
      <c r="G173" s="79">
        <f t="shared" si="15"/>
        <v>1.125</v>
      </c>
      <c r="H173" s="79">
        <f t="shared" si="16"/>
        <v>0.75</v>
      </c>
      <c r="I173" s="79"/>
      <c r="J173" s="79"/>
      <c r="K173" s="84">
        <v>0.75</v>
      </c>
    </row>
    <row r="174" spans="4:11">
      <c r="D174" t="s">
        <v>142</v>
      </c>
      <c r="E174" t="s">
        <v>187</v>
      </c>
      <c r="F174" t="s">
        <v>109</v>
      </c>
      <c r="G174" s="79">
        <f t="shared" si="15"/>
        <v>1.6500000000000001</v>
      </c>
      <c r="H174" s="79">
        <f t="shared" si="16"/>
        <v>1.1000000000000001</v>
      </c>
      <c r="I174" s="79">
        <v>1.1000000000000001</v>
      </c>
      <c r="J174" s="79">
        <v>1.1000000000000001</v>
      </c>
    </row>
    <row r="175" spans="4:11">
      <c r="D175" t="s">
        <v>556</v>
      </c>
      <c r="E175" t="s">
        <v>187</v>
      </c>
      <c r="F175" t="s">
        <v>61</v>
      </c>
      <c r="G175" s="79">
        <f t="shared" si="15"/>
        <v>1.5</v>
      </c>
      <c r="H175" s="79">
        <f t="shared" si="16"/>
        <v>1</v>
      </c>
      <c r="I175" s="79"/>
      <c r="J175" s="79">
        <v>1</v>
      </c>
    </row>
    <row r="176" spans="4:11">
      <c r="D176" t="s">
        <v>556</v>
      </c>
      <c r="E176" t="s">
        <v>187</v>
      </c>
      <c r="F176" t="s">
        <v>60</v>
      </c>
      <c r="G176" s="79">
        <f t="shared" si="15"/>
        <v>1.125</v>
      </c>
      <c r="H176" s="79">
        <f t="shared" si="16"/>
        <v>0.75</v>
      </c>
      <c r="I176" s="79">
        <v>0.75</v>
      </c>
      <c r="J176" s="79"/>
    </row>
    <row r="177" spans="4:11">
      <c r="D177" t="s">
        <v>556</v>
      </c>
      <c r="E177" t="s">
        <v>187</v>
      </c>
      <c r="F177" t="s">
        <v>65</v>
      </c>
      <c r="G177" s="79">
        <f t="shared" si="15"/>
        <v>1.6949999999999998</v>
      </c>
      <c r="H177" s="79">
        <f t="shared" si="16"/>
        <v>1.1299999999999999</v>
      </c>
      <c r="I177" s="79">
        <v>1.1299999999999999</v>
      </c>
      <c r="J177" s="79"/>
    </row>
    <row r="178" spans="4:11">
      <c r="D178" t="s">
        <v>556</v>
      </c>
      <c r="E178" t="s">
        <v>187</v>
      </c>
      <c r="F178" t="s">
        <v>44</v>
      </c>
      <c r="G178" s="79">
        <f t="shared" si="15"/>
        <v>1.875</v>
      </c>
      <c r="H178" s="79">
        <f t="shared" si="16"/>
        <v>1.25</v>
      </c>
      <c r="I178" s="79"/>
      <c r="J178" s="79"/>
      <c r="K178" s="84">
        <v>1.25</v>
      </c>
    </row>
    <row r="179" spans="4:11">
      <c r="D179" t="s">
        <v>556</v>
      </c>
      <c r="E179" t="s">
        <v>187</v>
      </c>
      <c r="F179" t="s">
        <v>45</v>
      </c>
      <c r="G179" s="79">
        <f t="shared" si="15"/>
        <v>2.7</v>
      </c>
      <c r="H179" s="79">
        <f t="shared" si="16"/>
        <v>1.8</v>
      </c>
      <c r="I179" s="79"/>
      <c r="J179" s="79">
        <v>1.8</v>
      </c>
    </row>
    <row r="180" spans="4:11">
      <c r="D180" t="s">
        <v>556</v>
      </c>
      <c r="E180" t="s">
        <v>187</v>
      </c>
      <c r="F180" t="s">
        <v>43</v>
      </c>
      <c r="G180" s="79">
        <f t="shared" si="15"/>
        <v>1.7249999999999999</v>
      </c>
      <c r="H180" s="79">
        <f t="shared" si="16"/>
        <v>1.1499999999999999</v>
      </c>
      <c r="I180" s="79">
        <v>1.1000000000000001</v>
      </c>
      <c r="J180" s="79">
        <v>1.2</v>
      </c>
    </row>
    <row r="181" spans="4:11">
      <c r="D181" t="s">
        <v>556</v>
      </c>
      <c r="E181" t="s">
        <v>187</v>
      </c>
      <c r="F181" t="s">
        <v>42</v>
      </c>
      <c r="G181" s="79">
        <f t="shared" si="15"/>
        <v>1.5</v>
      </c>
      <c r="H181" s="79">
        <f t="shared" si="16"/>
        <v>1</v>
      </c>
      <c r="I181" s="79"/>
      <c r="J181" s="79"/>
      <c r="K181" s="84">
        <v>1</v>
      </c>
    </row>
    <row r="183" spans="4:11">
      <c r="D183" s="91" t="s">
        <v>142</v>
      </c>
      <c r="E183" s="91" t="s">
        <v>662</v>
      </c>
      <c r="F183" s="91" t="s">
        <v>555</v>
      </c>
      <c r="G183" s="93">
        <f>AVERAGE(G168:G174)</f>
        <v>1.8107142857142857</v>
      </c>
      <c r="H183" s="93">
        <f>AVERAGE(H168:H174)</f>
        <v>1.2071428571428571</v>
      </c>
    </row>
    <row r="184" spans="4:11">
      <c r="D184" s="91" t="s">
        <v>556</v>
      </c>
      <c r="E184" s="91" t="s">
        <v>662</v>
      </c>
      <c r="F184" s="91" t="s">
        <v>555</v>
      </c>
      <c r="G184" s="93">
        <f>AVERAGE(G175:G181)</f>
        <v>1.7314285714285713</v>
      </c>
      <c r="H184" s="93">
        <f>AVERAGE(H175:H181)</f>
        <v>1.1542857142857144</v>
      </c>
    </row>
    <row r="187" spans="4:11" ht="17">
      <c r="D187" s="100" t="s">
        <v>4</v>
      </c>
      <c r="E187" s="101" t="s">
        <v>5</v>
      </c>
      <c r="F187" s="101" t="s">
        <v>6</v>
      </c>
      <c r="G187" s="102" t="s">
        <v>7</v>
      </c>
      <c r="H187" s="102" t="s">
        <v>8</v>
      </c>
      <c r="I187" s="103" t="s">
        <v>9</v>
      </c>
      <c r="J187" s="103" t="s">
        <v>10</v>
      </c>
      <c r="K187" s="104" t="s">
        <v>11</v>
      </c>
    </row>
    <row r="188" spans="4:11">
      <c r="D188" s="94" t="s">
        <v>142</v>
      </c>
      <c r="E188" t="s">
        <v>49</v>
      </c>
      <c r="F188" t="s">
        <v>129</v>
      </c>
      <c r="G188" s="79">
        <f t="shared" ref="G188:G195" si="17">H188*(1+$F$3)</f>
        <v>1.5</v>
      </c>
      <c r="H188" s="79">
        <f t="shared" ref="H188:H195" si="18">AVERAGE(I188:K188)</f>
        <v>1</v>
      </c>
      <c r="I188" s="79"/>
      <c r="J188" s="79"/>
      <c r="K188" s="95">
        <v>1</v>
      </c>
    </row>
    <row r="189" spans="4:11">
      <c r="D189" s="94" t="s">
        <v>142</v>
      </c>
      <c r="E189" t="s">
        <v>49</v>
      </c>
      <c r="F189" t="s">
        <v>95</v>
      </c>
      <c r="G189" s="79">
        <f t="shared" si="17"/>
        <v>1.7999999999999998</v>
      </c>
      <c r="H189" s="79">
        <f t="shared" si="18"/>
        <v>1.2</v>
      </c>
      <c r="I189" s="79"/>
      <c r="J189" s="79"/>
      <c r="K189" s="95">
        <v>1.2</v>
      </c>
    </row>
    <row r="190" spans="4:11">
      <c r="D190" s="94" t="s">
        <v>142</v>
      </c>
      <c r="E190" t="s">
        <v>49</v>
      </c>
      <c r="F190" t="s">
        <v>127</v>
      </c>
      <c r="G190" s="79">
        <f t="shared" si="17"/>
        <v>1.7999999999999998</v>
      </c>
      <c r="H190" s="79">
        <f t="shared" si="18"/>
        <v>1.2</v>
      </c>
      <c r="I190" s="79">
        <v>1.2</v>
      </c>
      <c r="J190" s="79"/>
      <c r="K190" s="95"/>
    </row>
    <row r="191" spans="4:11">
      <c r="D191" s="94" t="s">
        <v>142</v>
      </c>
      <c r="E191" t="s">
        <v>49</v>
      </c>
      <c r="F191" t="s">
        <v>117</v>
      </c>
      <c r="G191" s="79">
        <f t="shared" si="17"/>
        <v>1.6124999999999998</v>
      </c>
      <c r="H191" s="79">
        <f t="shared" si="18"/>
        <v>1.075</v>
      </c>
      <c r="I191" s="79">
        <v>1.25</v>
      </c>
      <c r="J191" s="79">
        <v>0.9</v>
      </c>
      <c r="K191" s="95"/>
    </row>
    <row r="192" spans="4:11">
      <c r="D192" s="94" t="s">
        <v>142</v>
      </c>
      <c r="E192" t="s">
        <v>49</v>
      </c>
      <c r="F192" t="s">
        <v>107</v>
      </c>
      <c r="G192" s="79">
        <f t="shared" si="17"/>
        <v>1.9500000000000002</v>
      </c>
      <c r="H192" s="79">
        <f t="shared" si="18"/>
        <v>1.3</v>
      </c>
      <c r="I192" s="79">
        <v>1.3</v>
      </c>
      <c r="J192" s="79"/>
      <c r="K192" s="95"/>
    </row>
    <row r="193" spans="4:11">
      <c r="D193" s="94" t="s">
        <v>556</v>
      </c>
      <c r="E193" t="s">
        <v>49</v>
      </c>
      <c r="F193" t="s">
        <v>56</v>
      </c>
      <c r="G193" s="75">
        <f t="shared" si="17"/>
        <v>2.625</v>
      </c>
      <c r="H193" s="79">
        <f t="shared" si="18"/>
        <v>1.75</v>
      </c>
      <c r="I193" s="79"/>
      <c r="J193" s="79"/>
      <c r="K193" s="105">
        <v>1.75</v>
      </c>
    </row>
    <row r="194" spans="4:11">
      <c r="D194" s="94" t="s">
        <v>556</v>
      </c>
      <c r="E194" t="s">
        <v>49</v>
      </c>
      <c r="F194" t="s">
        <v>63</v>
      </c>
      <c r="G194" s="79">
        <f t="shared" si="17"/>
        <v>1.8000000000000003</v>
      </c>
      <c r="H194" s="79">
        <f t="shared" si="18"/>
        <v>1.2000000000000002</v>
      </c>
      <c r="I194" s="79">
        <v>1.1000000000000001</v>
      </c>
      <c r="J194" s="79">
        <v>1.3</v>
      </c>
      <c r="K194" s="95"/>
    </row>
    <row r="195" spans="4:11">
      <c r="D195" s="96" t="s">
        <v>556</v>
      </c>
      <c r="E195" s="97" t="s">
        <v>49</v>
      </c>
      <c r="F195" s="97" t="s">
        <v>39</v>
      </c>
      <c r="G195" s="98">
        <f t="shared" si="17"/>
        <v>3</v>
      </c>
      <c r="H195" s="98">
        <f t="shared" si="18"/>
        <v>2</v>
      </c>
      <c r="I195" s="98">
        <v>2</v>
      </c>
      <c r="J195" s="98"/>
      <c r="K195" s="99"/>
    </row>
    <row r="196" spans="4:11">
      <c r="G196" s="79"/>
      <c r="H196" s="79"/>
      <c r="I196" s="79"/>
      <c r="J196" s="79"/>
    </row>
    <row r="197" spans="4:11">
      <c r="D197" s="91" t="s">
        <v>142</v>
      </c>
      <c r="E197" s="91" t="s">
        <v>662</v>
      </c>
      <c r="F197" s="91" t="s">
        <v>555</v>
      </c>
      <c r="G197" s="93">
        <f>AVERAGE(G188:G192)</f>
        <v>1.7324999999999999</v>
      </c>
      <c r="H197" s="93">
        <f>AVERAGE(H188:H192)</f>
        <v>1.155</v>
      </c>
    </row>
    <row r="198" spans="4:11">
      <c r="D198" s="91" t="s">
        <v>556</v>
      </c>
      <c r="E198" s="91" t="s">
        <v>662</v>
      </c>
      <c r="F198" s="91" t="s">
        <v>555</v>
      </c>
      <c r="G198" s="93">
        <f>AVERAGE(G193:G194)</f>
        <v>2.2125000000000004</v>
      </c>
      <c r="H198" s="93">
        <f>AVERAGE(H193:H194)</f>
        <v>1.4750000000000001</v>
      </c>
    </row>
    <row r="201" spans="4:11" ht="17">
      <c r="D201" s="77" t="s">
        <v>4</v>
      </c>
      <c r="E201" s="77" t="s">
        <v>5</v>
      </c>
      <c r="F201" s="77" t="s">
        <v>6</v>
      </c>
      <c r="G201" s="78" t="s">
        <v>7</v>
      </c>
      <c r="H201" s="78" t="s">
        <v>8</v>
      </c>
      <c r="I201" s="81" t="s">
        <v>9</v>
      </c>
      <c r="J201" s="81" t="s">
        <v>10</v>
      </c>
      <c r="K201" s="81" t="s">
        <v>11</v>
      </c>
    </row>
    <row r="202" spans="4:11">
      <c r="D202" t="s">
        <v>142</v>
      </c>
      <c r="E202" t="s">
        <v>638</v>
      </c>
      <c r="F202" t="s">
        <v>139</v>
      </c>
      <c r="G202" s="79">
        <f t="shared" ref="G202:G213" si="19">H202*(1+$F$3)</f>
        <v>2.625</v>
      </c>
      <c r="H202" s="79">
        <f t="shared" ref="H202:H213" si="20">AVERAGE(I202:K202)</f>
        <v>1.75</v>
      </c>
      <c r="I202" s="79"/>
      <c r="J202" s="79"/>
      <c r="K202" s="84">
        <v>1.75</v>
      </c>
    </row>
    <row r="203" spans="4:11">
      <c r="D203" t="s">
        <v>142</v>
      </c>
      <c r="E203" t="s">
        <v>638</v>
      </c>
      <c r="F203" t="s">
        <v>115</v>
      </c>
      <c r="G203" s="79">
        <f t="shared" si="19"/>
        <v>1.875</v>
      </c>
      <c r="H203" s="79">
        <f t="shared" si="20"/>
        <v>1.25</v>
      </c>
      <c r="I203" s="79">
        <v>1.25</v>
      </c>
      <c r="J203" s="79"/>
    </row>
    <row r="204" spans="4:11" ht="19">
      <c r="D204" t="s">
        <v>142</v>
      </c>
      <c r="E204" t="s">
        <v>638</v>
      </c>
      <c r="F204" t="s">
        <v>140</v>
      </c>
      <c r="G204" s="79">
        <f t="shared" si="19"/>
        <v>2.0999999999999996</v>
      </c>
      <c r="H204" s="79">
        <f t="shared" si="20"/>
        <v>1.4</v>
      </c>
      <c r="I204" s="83"/>
      <c r="J204" s="83"/>
      <c r="K204" s="84">
        <v>1.4</v>
      </c>
    </row>
    <row r="205" spans="4:11">
      <c r="D205" t="s">
        <v>142</v>
      </c>
      <c r="E205" t="s">
        <v>638</v>
      </c>
      <c r="F205" t="s">
        <v>138</v>
      </c>
      <c r="G205" s="79">
        <f t="shared" si="19"/>
        <v>2.0999999999999996</v>
      </c>
      <c r="H205" s="79">
        <f t="shared" si="20"/>
        <v>1.4</v>
      </c>
      <c r="I205" s="79">
        <v>1.5</v>
      </c>
      <c r="J205" s="79">
        <v>1.3</v>
      </c>
    </row>
    <row r="206" spans="4:11">
      <c r="D206" t="s">
        <v>142</v>
      </c>
      <c r="E206" t="s">
        <v>638</v>
      </c>
      <c r="F206" t="s">
        <v>136</v>
      </c>
      <c r="G206" s="79">
        <f t="shared" si="19"/>
        <v>2.0999999999999996</v>
      </c>
      <c r="H206" s="79">
        <f t="shared" si="20"/>
        <v>1.4</v>
      </c>
      <c r="I206" s="79">
        <f>14/10</f>
        <v>1.4</v>
      </c>
      <c r="J206" s="79"/>
    </row>
    <row r="207" spans="4:11">
      <c r="D207" t="s">
        <v>142</v>
      </c>
      <c r="E207" t="s">
        <v>638</v>
      </c>
      <c r="F207" t="s">
        <v>132</v>
      </c>
      <c r="G207" s="79">
        <f t="shared" si="19"/>
        <v>2.8125</v>
      </c>
      <c r="H207" s="79">
        <f t="shared" si="20"/>
        <v>1.875</v>
      </c>
      <c r="I207" s="79">
        <f>22.5/10</f>
        <v>2.25</v>
      </c>
      <c r="J207" s="79"/>
      <c r="K207" s="84">
        <v>1.5</v>
      </c>
    </row>
    <row r="208" spans="4:11">
      <c r="D208" t="s">
        <v>556</v>
      </c>
      <c r="E208" t="s">
        <v>638</v>
      </c>
      <c r="F208" t="s">
        <v>133</v>
      </c>
      <c r="G208" s="79">
        <f t="shared" si="19"/>
        <v>2.25</v>
      </c>
      <c r="H208" s="79">
        <f t="shared" si="20"/>
        <v>1.5</v>
      </c>
      <c r="I208" s="79">
        <v>1.5</v>
      </c>
      <c r="J208" s="79"/>
    </row>
    <row r="209" spans="4:11">
      <c r="D209" t="s">
        <v>556</v>
      </c>
      <c r="E209" t="s">
        <v>638</v>
      </c>
      <c r="F209" t="s">
        <v>134</v>
      </c>
      <c r="G209" s="79">
        <f t="shared" si="19"/>
        <v>1.6500000000000001</v>
      </c>
      <c r="H209" s="79">
        <f t="shared" si="20"/>
        <v>1.1000000000000001</v>
      </c>
      <c r="I209" s="79"/>
      <c r="J209" s="79">
        <v>1.1000000000000001</v>
      </c>
    </row>
    <row r="210" spans="4:11">
      <c r="D210" t="s">
        <v>556</v>
      </c>
      <c r="E210" t="s">
        <v>638</v>
      </c>
      <c r="F210" t="s">
        <v>137</v>
      </c>
      <c r="G210" s="79">
        <f t="shared" si="19"/>
        <v>1.9500000000000002</v>
      </c>
      <c r="H210" s="79">
        <f t="shared" si="20"/>
        <v>1.3</v>
      </c>
      <c r="I210" s="79">
        <v>1.3</v>
      </c>
      <c r="J210" s="79"/>
    </row>
    <row r="211" spans="4:11">
      <c r="D211" t="s">
        <v>556</v>
      </c>
      <c r="E211" t="s">
        <v>638</v>
      </c>
      <c r="F211" t="s">
        <v>59</v>
      </c>
      <c r="G211" s="79">
        <f t="shared" si="19"/>
        <v>1.6500000000000001</v>
      </c>
      <c r="H211" s="79">
        <f t="shared" si="20"/>
        <v>1.1000000000000001</v>
      </c>
      <c r="I211" s="82"/>
      <c r="J211" s="79">
        <v>1.1000000000000001</v>
      </c>
    </row>
    <row r="212" spans="4:11">
      <c r="D212" t="s">
        <v>556</v>
      </c>
      <c r="E212" t="s">
        <v>638</v>
      </c>
      <c r="F212" t="s">
        <v>53</v>
      </c>
      <c r="G212" s="75">
        <f t="shared" si="19"/>
        <v>1.6500000000000001</v>
      </c>
      <c r="H212" s="79">
        <f t="shared" si="20"/>
        <v>1.1000000000000001</v>
      </c>
      <c r="I212" s="79">
        <v>1.1000000000000001</v>
      </c>
      <c r="J212" s="79"/>
      <c r="K212" s="79"/>
    </row>
    <row r="213" spans="4:11">
      <c r="D213" t="s">
        <v>556</v>
      </c>
      <c r="E213" t="s">
        <v>638</v>
      </c>
      <c r="F213" t="s">
        <v>64</v>
      </c>
      <c r="G213" s="79">
        <f t="shared" si="19"/>
        <v>2.25</v>
      </c>
      <c r="H213" s="79">
        <f t="shared" si="20"/>
        <v>1.5</v>
      </c>
      <c r="I213" s="79">
        <v>1.5</v>
      </c>
      <c r="J213" s="79"/>
    </row>
    <row r="214" spans="4:11">
      <c r="G214" s="79"/>
      <c r="H214" s="79"/>
      <c r="I214" s="79"/>
      <c r="J214" s="79"/>
    </row>
    <row r="215" spans="4:11">
      <c r="D215" s="91" t="s">
        <v>142</v>
      </c>
      <c r="E215" s="91" t="s">
        <v>662</v>
      </c>
      <c r="F215" s="91" t="s">
        <v>555</v>
      </c>
      <c r="G215" s="93">
        <f>AVERAGE(G202:G207)</f>
        <v>2.2687499999999998</v>
      </c>
      <c r="H215" s="93">
        <f>AVERAGE(H202:H207)</f>
        <v>1.5125000000000002</v>
      </c>
    </row>
    <row r="216" spans="4:11">
      <c r="D216" s="91" t="s">
        <v>556</v>
      </c>
      <c r="E216" s="91" t="s">
        <v>662</v>
      </c>
      <c r="F216" s="91" t="s">
        <v>555</v>
      </c>
      <c r="G216" s="93">
        <f>AVERAGE(G208:G213)</f>
        <v>1.9000000000000001</v>
      </c>
      <c r="H216" s="93">
        <f>AVERAGE(H208:H213)</f>
        <v>1.2666666666666666</v>
      </c>
    </row>
  </sheetData>
  <mergeCells count="1">
    <mergeCell ref="B1:K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3F67-97B4-44B7-ABDF-0C9E91B8E169}">
  <sheetPr codeName="Sheet8"/>
  <dimension ref="B2:H94"/>
  <sheetViews>
    <sheetView workbookViewId="0">
      <selection activeCell="L21" sqref="L21"/>
    </sheetView>
  </sheetViews>
  <sheetFormatPr baseColWidth="10" defaultColWidth="8.83203125" defaultRowHeight="16"/>
  <cols>
    <col min="2" max="2" width="10.33203125" bestFit="1" customWidth="1"/>
    <col min="3" max="3" width="26.83203125" customWidth="1"/>
    <col min="4" max="4" width="26.83203125" hidden="1" customWidth="1"/>
    <col min="5" max="5" width="15.5" hidden="1" customWidth="1"/>
    <col min="6" max="6" width="10.33203125" hidden="1" customWidth="1"/>
    <col min="7" max="7" width="20.5" bestFit="1" customWidth="1"/>
    <col min="8" max="8" width="10.33203125" bestFit="1" customWidth="1"/>
  </cols>
  <sheetData>
    <row r="2" spans="2:8" ht="17">
      <c r="B2" t="s">
        <v>663</v>
      </c>
      <c r="C2" s="138" t="s">
        <v>4</v>
      </c>
      <c r="D2" s="139" t="s">
        <v>585</v>
      </c>
      <c r="E2" s="77" t="s">
        <v>664</v>
      </c>
      <c r="F2" s="77" t="s">
        <v>5</v>
      </c>
      <c r="G2" s="77" t="s">
        <v>6</v>
      </c>
      <c r="H2" t="s">
        <v>665</v>
      </c>
    </row>
    <row r="3" spans="2:8" ht="76.5" customHeight="1">
      <c r="B3">
        <v>1</v>
      </c>
      <c r="C3" t="s">
        <v>593</v>
      </c>
      <c r="D3" s="87" t="s">
        <v>594</v>
      </c>
      <c r="E3" t="s">
        <v>556</v>
      </c>
      <c r="F3" t="s">
        <v>22</v>
      </c>
      <c r="G3" t="s">
        <v>24</v>
      </c>
    </row>
    <row r="4" spans="2:8" ht="17">
      <c r="B4">
        <v>1</v>
      </c>
      <c r="C4" t="s">
        <v>593</v>
      </c>
      <c r="D4" s="87" t="s">
        <v>594</v>
      </c>
      <c r="E4" t="s">
        <v>556</v>
      </c>
      <c r="F4" t="s">
        <v>22</v>
      </c>
      <c r="G4" t="s">
        <v>23</v>
      </c>
    </row>
    <row r="5" spans="2:8" ht="17">
      <c r="B5">
        <v>1</v>
      </c>
      <c r="C5" t="s">
        <v>593</v>
      </c>
      <c r="D5" s="87" t="s">
        <v>594</v>
      </c>
      <c r="E5" t="s">
        <v>556</v>
      </c>
      <c r="F5" t="s">
        <v>22</v>
      </c>
      <c r="G5" t="s">
        <v>25</v>
      </c>
    </row>
    <row r="6" spans="2:8" ht="85">
      <c r="B6">
        <v>1</v>
      </c>
      <c r="C6" t="s">
        <v>611</v>
      </c>
      <c r="D6" s="87" t="s">
        <v>612</v>
      </c>
      <c r="E6" t="s">
        <v>556</v>
      </c>
      <c r="F6" t="s">
        <v>598</v>
      </c>
      <c r="G6" t="s">
        <v>40</v>
      </c>
    </row>
    <row r="7" spans="2:8">
      <c r="B7">
        <v>1</v>
      </c>
      <c r="C7" t="s">
        <v>620</v>
      </c>
      <c r="D7" s="87"/>
      <c r="E7" t="s">
        <v>556</v>
      </c>
      <c r="F7" t="s">
        <v>598</v>
      </c>
      <c r="G7" t="s">
        <v>577</v>
      </c>
    </row>
    <row r="8" spans="2:8">
      <c r="B8">
        <v>1</v>
      </c>
      <c r="C8" t="s">
        <v>652</v>
      </c>
      <c r="D8" s="87"/>
      <c r="E8" t="s">
        <v>556</v>
      </c>
      <c r="G8" t="s">
        <v>52</v>
      </c>
    </row>
    <row r="9" spans="2:8">
      <c r="B9">
        <v>2</v>
      </c>
      <c r="C9" t="s">
        <v>608</v>
      </c>
      <c r="D9" s="87"/>
      <c r="E9" t="s">
        <v>556</v>
      </c>
      <c r="F9" t="s">
        <v>598</v>
      </c>
      <c r="G9" t="s">
        <v>32</v>
      </c>
    </row>
    <row r="10" spans="2:8">
      <c r="B10">
        <v>2</v>
      </c>
      <c r="C10" t="s">
        <v>608</v>
      </c>
      <c r="D10" s="87"/>
      <c r="E10" t="s">
        <v>556</v>
      </c>
      <c r="F10" t="s">
        <v>598</v>
      </c>
      <c r="G10" t="s">
        <v>27</v>
      </c>
    </row>
    <row r="11" spans="2:8">
      <c r="B11">
        <v>2</v>
      </c>
      <c r="C11" t="s">
        <v>609</v>
      </c>
      <c r="D11" s="87"/>
      <c r="E11" t="s">
        <v>556</v>
      </c>
      <c r="F11" t="s">
        <v>598</v>
      </c>
      <c r="G11" t="s">
        <v>31</v>
      </c>
    </row>
    <row r="12" spans="2:8">
      <c r="B12">
        <v>2</v>
      </c>
      <c r="C12" t="s">
        <v>609</v>
      </c>
      <c r="D12" s="87"/>
      <c r="E12" t="s">
        <v>556</v>
      </c>
      <c r="F12" t="s">
        <v>598</v>
      </c>
      <c r="G12" t="s">
        <v>562</v>
      </c>
    </row>
    <row r="13" spans="2:8">
      <c r="B13">
        <v>2</v>
      </c>
      <c r="C13" t="s">
        <v>610</v>
      </c>
      <c r="D13" s="87"/>
      <c r="E13" t="s">
        <v>556</v>
      </c>
      <c r="F13" t="s">
        <v>598</v>
      </c>
      <c r="G13" t="s">
        <v>29</v>
      </c>
    </row>
    <row r="14" spans="2:8">
      <c r="B14">
        <v>2</v>
      </c>
      <c r="C14" t="s">
        <v>630</v>
      </c>
      <c r="D14" s="87"/>
      <c r="E14" t="s">
        <v>556</v>
      </c>
      <c r="F14" t="s">
        <v>187</v>
      </c>
      <c r="G14" t="s">
        <v>60</v>
      </c>
    </row>
    <row r="15" spans="2:8">
      <c r="B15">
        <v>2</v>
      </c>
      <c r="C15" t="s">
        <v>609</v>
      </c>
      <c r="D15" s="87"/>
      <c r="E15" t="s">
        <v>556</v>
      </c>
      <c r="F15" t="s">
        <v>187</v>
      </c>
      <c r="G15" t="s">
        <v>44</v>
      </c>
    </row>
    <row r="16" spans="2:8">
      <c r="B16">
        <v>2</v>
      </c>
      <c r="C16" t="s">
        <v>633</v>
      </c>
      <c r="D16" s="87"/>
      <c r="E16" t="s">
        <v>142</v>
      </c>
      <c r="F16" t="s">
        <v>49</v>
      </c>
      <c r="G16" t="s">
        <v>117</v>
      </c>
    </row>
    <row r="17" spans="2:7">
      <c r="B17">
        <v>2</v>
      </c>
      <c r="C17" t="s">
        <v>648</v>
      </c>
      <c r="D17" s="87"/>
      <c r="E17" t="s">
        <v>556</v>
      </c>
      <c r="F17" t="s">
        <v>638</v>
      </c>
      <c r="G17" t="s">
        <v>53</v>
      </c>
    </row>
    <row r="18" spans="2:7" ht="34">
      <c r="B18">
        <v>3</v>
      </c>
      <c r="C18" t="s">
        <v>595</v>
      </c>
      <c r="D18" s="87" t="s">
        <v>596</v>
      </c>
      <c r="E18" s="106" t="s">
        <v>556</v>
      </c>
      <c r="F18" s="106" t="s">
        <v>22</v>
      </c>
      <c r="G18" s="106" t="s">
        <v>70</v>
      </c>
    </row>
    <row r="19" spans="2:7">
      <c r="B19">
        <v>3</v>
      </c>
      <c r="C19" t="s">
        <v>595</v>
      </c>
      <c r="D19" s="87"/>
      <c r="E19" s="106" t="s">
        <v>556</v>
      </c>
      <c r="F19" s="106" t="s">
        <v>22</v>
      </c>
      <c r="G19" s="106" t="s">
        <v>71</v>
      </c>
    </row>
    <row r="20" spans="2:7">
      <c r="B20">
        <v>3</v>
      </c>
      <c r="C20" t="s">
        <v>595</v>
      </c>
      <c r="D20" s="87"/>
      <c r="E20" s="106" t="s">
        <v>556</v>
      </c>
      <c r="F20" s="106" t="s">
        <v>22</v>
      </c>
      <c r="G20" s="106" t="s">
        <v>73</v>
      </c>
    </row>
    <row r="21" spans="2:7">
      <c r="B21">
        <v>3</v>
      </c>
      <c r="C21" t="s">
        <v>595</v>
      </c>
      <c r="D21" s="87"/>
      <c r="E21" s="106" t="s">
        <v>556</v>
      </c>
      <c r="F21" s="106" t="s">
        <v>22</v>
      </c>
      <c r="G21" s="106" t="s">
        <v>72</v>
      </c>
    </row>
    <row r="22" spans="2:7">
      <c r="B22">
        <v>3</v>
      </c>
      <c r="C22" t="s">
        <v>595</v>
      </c>
      <c r="D22" s="87"/>
      <c r="E22" s="106" t="s">
        <v>556</v>
      </c>
      <c r="F22" s="106" t="s">
        <v>22</v>
      </c>
      <c r="G22" s="106" t="s">
        <v>74</v>
      </c>
    </row>
    <row r="23" spans="2:7">
      <c r="B23">
        <v>3</v>
      </c>
      <c r="C23" t="s">
        <v>617</v>
      </c>
      <c r="D23" s="87"/>
      <c r="E23" t="s">
        <v>556</v>
      </c>
      <c r="F23" t="s">
        <v>598</v>
      </c>
      <c r="G23" t="s">
        <v>67</v>
      </c>
    </row>
    <row r="24" spans="2:7" ht="34">
      <c r="B24">
        <v>3</v>
      </c>
      <c r="C24" t="s">
        <v>568</v>
      </c>
      <c r="D24" s="87" t="s">
        <v>625</v>
      </c>
      <c r="E24" t="s">
        <v>556</v>
      </c>
      <c r="F24" t="s">
        <v>33</v>
      </c>
      <c r="G24" t="s">
        <v>69</v>
      </c>
    </row>
    <row r="25" spans="2:7">
      <c r="B25">
        <v>3</v>
      </c>
      <c r="C25" t="s">
        <v>568</v>
      </c>
      <c r="D25" s="87"/>
      <c r="E25" t="s">
        <v>556</v>
      </c>
      <c r="F25" t="s">
        <v>33</v>
      </c>
      <c r="G25" t="s">
        <v>75</v>
      </c>
    </row>
    <row r="26" spans="2:7">
      <c r="B26">
        <v>3</v>
      </c>
      <c r="C26" t="s">
        <v>629</v>
      </c>
      <c r="D26" s="87"/>
      <c r="E26" t="s">
        <v>556</v>
      </c>
      <c r="F26" t="s">
        <v>187</v>
      </c>
      <c r="G26" t="s">
        <v>61</v>
      </c>
    </row>
    <row r="27" spans="2:7">
      <c r="B27">
        <v>3</v>
      </c>
      <c r="C27" t="s">
        <v>629</v>
      </c>
      <c r="D27" s="87"/>
      <c r="E27" t="s">
        <v>556</v>
      </c>
      <c r="F27" t="s">
        <v>187</v>
      </c>
      <c r="G27" t="s">
        <v>43</v>
      </c>
    </row>
    <row r="28" spans="2:7">
      <c r="B28">
        <v>3</v>
      </c>
      <c r="C28" t="s">
        <v>631</v>
      </c>
      <c r="D28" s="87"/>
      <c r="E28" t="s">
        <v>556</v>
      </c>
      <c r="F28" t="s">
        <v>187</v>
      </c>
      <c r="G28" t="s">
        <v>42</v>
      </c>
    </row>
    <row r="29" spans="2:7">
      <c r="B29">
        <v>3</v>
      </c>
      <c r="C29" t="s">
        <v>634</v>
      </c>
      <c r="D29" s="87"/>
      <c r="E29" t="s">
        <v>556</v>
      </c>
      <c r="F29" t="s">
        <v>49</v>
      </c>
      <c r="G29" t="s">
        <v>56</v>
      </c>
    </row>
    <row r="30" spans="2:7">
      <c r="B30">
        <v>3</v>
      </c>
      <c r="C30" t="s">
        <v>635</v>
      </c>
      <c r="D30" s="87"/>
      <c r="E30" t="s">
        <v>556</v>
      </c>
      <c r="F30" t="s">
        <v>49</v>
      </c>
      <c r="G30" t="s">
        <v>63</v>
      </c>
    </row>
    <row r="31" spans="2:7" ht="34">
      <c r="B31">
        <v>3</v>
      </c>
      <c r="C31" t="s">
        <v>636</v>
      </c>
      <c r="D31" s="87" t="s">
        <v>637</v>
      </c>
      <c r="E31" t="s">
        <v>556</v>
      </c>
      <c r="F31" t="s">
        <v>49</v>
      </c>
      <c r="G31" t="s">
        <v>39</v>
      </c>
    </row>
    <row r="32" spans="2:7">
      <c r="B32">
        <v>3</v>
      </c>
      <c r="C32" t="s">
        <v>639</v>
      </c>
      <c r="D32" s="87"/>
      <c r="E32" t="s">
        <v>142</v>
      </c>
      <c r="F32" t="s">
        <v>638</v>
      </c>
      <c r="G32" t="s">
        <v>115</v>
      </c>
    </row>
    <row r="33" spans="2:7">
      <c r="B33">
        <v>3</v>
      </c>
      <c r="C33" t="s">
        <v>568</v>
      </c>
      <c r="D33" s="87"/>
      <c r="E33" t="s">
        <v>556</v>
      </c>
      <c r="F33" t="s">
        <v>638</v>
      </c>
      <c r="G33" t="s">
        <v>647</v>
      </c>
    </row>
    <row r="34" spans="2:7">
      <c r="B34">
        <v>3</v>
      </c>
      <c r="C34" t="s">
        <v>629</v>
      </c>
      <c r="D34" s="87"/>
      <c r="E34" t="s">
        <v>556</v>
      </c>
      <c r="F34" t="s">
        <v>638</v>
      </c>
      <c r="G34" t="s">
        <v>137</v>
      </c>
    </row>
    <row r="35" spans="2:7">
      <c r="B35">
        <v>3</v>
      </c>
      <c r="C35" t="s">
        <v>568</v>
      </c>
      <c r="D35" s="87"/>
      <c r="E35" t="s">
        <v>556</v>
      </c>
      <c r="G35" t="s">
        <v>653</v>
      </c>
    </row>
    <row r="36" spans="2:7">
      <c r="B36">
        <v>3</v>
      </c>
      <c r="C36" t="s">
        <v>636</v>
      </c>
      <c r="D36" s="87"/>
      <c r="G36" t="s">
        <v>654</v>
      </c>
    </row>
    <row r="37" spans="2:7">
      <c r="B37">
        <v>3</v>
      </c>
      <c r="C37" t="s">
        <v>636</v>
      </c>
      <c r="D37" s="87"/>
      <c r="E37" t="s">
        <v>556</v>
      </c>
      <c r="G37" t="s">
        <v>655</v>
      </c>
    </row>
    <row r="38" spans="2:7">
      <c r="B38">
        <v>4</v>
      </c>
      <c r="C38" t="s">
        <v>600</v>
      </c>
      <c r="D38" s="87"/>
      <c r="E38" t="s">
        <v>142</v>
      </c>
      <c r="F38" t="s">
        <v>598</v>
      </c>
      <c r="G38" t="s">
        <v>80</v>
      </c>
    </row>
    <row r="39" spans="2:7">
      <c r="B39">
        <v>4</v>
      </c>
      <c r="C39" t="s">
        <v>600</v>
      </c>
      <c r="D39" s="87"/>
      <c r="E39" t="s">
        <v>142</v>
      </c>
      <c r="F39" t="s">
        <v>598</v>
      </c>
      <c r="G39" t="s">
        <v>118</v>
      </c>
    </row>
    <row r="40" spans="2:7" ht="51">
      <c r="B40">
        <v>4</v>
      </c>
      <c r="C40" t="s">
        <v>606</v>
      </c>
      <c r="D40" s="87" t="s">
        <v>607</v>
      </c>
      <c r="E40" t="s">
        <v>142</v>
      </c>
      <c r="F40" t="s">
        <v>598</v>
      </c>
      <c r="G40" t="s">
        <v>81</v>
      </c>
    </row>
    <row r="41" spans="2:7" ht="51">
      <c r="B41">
        <v>4</v>
      </c>
      <c r="C41" t="s">
        <v>606</v>
      </c>
      <c r="D41" s="87" t="s">
        <v>607</v>
      </c>
      <c r="E41" t="s">
        <v>142</v>
      </c>
      <c r="F41" t="s">
        <v>598</v>
      </c>
      <c r="G41" t="s">
        <v>122</v>
      </c>
    </row>
    <row r="42" spans="2:7">
      <c r="B42">
        <v>4</v>
      </c>
      <c r="C42" t="s">
        <v>613</v>
      </c>
      <c r="D42" s="87"/>
      <c r="E42" t="s">
        <v>556</v>
      </c>
      <c r="F42" t="s">
        <v>598</v>
      </c>
      <c r="G42" t="s">
        <v>120</v>
      </c>
    </row>
    <row r="43" spans="2:7" ht="34">
      <c r="B43">
        <v>4</v>
      </c>
      <c r="C43" t="s">
        <v>614</v>
      </c>
      <c r="D43" s="87" t="s">
        <v>615</v>
      </c>
      <c r="E43" t="s">
        <v>556</v>
      </c>
      <c r="F43" t="s">
        <v>598</v>
      </c>
      <c r="G43" t="s">
        <v>58</v>
      </c>
    </row>
    <row r="44" spans="2:7">
      <c r="B44">
        <v>4</v>
      </c>
      <c r="C44" t="s">
        <v>614</v>
      </c>
      <c r="D44" s="87"/>
      <c r="E44" t="s">
        <v>556</v>
      </c>
      <c r="F44" t="s">
        <v>598</v>
      </c>
      <c r="G44" t="s">
        <v>57</v>
      </c>
    </row>
    <row r="45" spans="2:7" ht="34">
      <c r="B45">
        <v>4</v>
      </c>
      <c r="C45" t="s">
        <v>569</v>
      </c>
      <c r="D45" s="87" t="s">
        <v>616</v>
      </c>
      <c r="E45" t="s">
        <v>556</v>
      </c>
      <c r="F45" t="s">
        <v>598</v>
      </c>
      <c r="G45" t="s">
        <v>62</v>
      </c>
    </row>
    <row r="46" spans="2:7">
      <c r="B46">
        <v>4</v>
      </c>
      <c r="C46" t="s">
        <v>624</v>
      </c>
      <c r="D46" s="87"/>
      <c r="E46" t="s">
        <v>142</v>
      </c>
      <c r="F46" t="s">
        <v>33</v>
      </c>
      <c r="G46" t="s">
        <v>96</v>
      </c>
    </row>
    <row r="47" spans="2:7">
      <c r="B47">
        <v>4</v>
      </c>
      <c r="C47" t="s">
        <v>569</v>
      </c>
      <c r="D47" s="87"/>
      <c r="E47" t="s">
        <v>556</v>
      </c>
      <c r="F47" t="s">
        <v>187</v>
      </c>
      <c r="G47" t="s">
        <v>65</v>
      </c>
    </row>
    <row r="48" spans="2:7">
      <c r="B48">
        <v>4</v>
      </c>
      <c r="C48" t="s">
        <v>569</v>
      </c>
      <c r="D48" s="87"/>
      <c r="E48" t="s">
        <v>556</v>
      </c>
      <c r="F48" t="s">
        <v>187</v>
      </c>
      <c r="G48" t="s">
        <v>45</v>
      </c>
    </row>
    <row r="49" spans="2:7" ht="17">
      <c r="B49">
        <v>4</v>
      </c>
      <c r="C49" t="s">
        <v>600</v>
      </c>
      <c r="D49" s="87" t="s">
        <v>632</v>
      </c>
      <c r="E49" t="s">
        <v>142</v>
      </c>
      <c r="F49" t="s">
        <v>49</v>
      </c>
      <c r="G49" t="s">
        <v>95</v>
      </c>
    </row>
    <row r="50" spans="2:7">
      <c r="B50">
        <v>4</v>
      </c>
      <c r="C50" t="s">
        <v>646</v>
      </c>
      <c r="D50" s="87"/>
      <c r="E50" t="s">
        <v>142</v>
      </c>
      <c r="F50" t="s">
        <v>638</v>
      </c>
      <c r="G50" t="s">
        <v>132</v>
      </c>
    </row>
    <row r="51" spans="2:7">
      <c r="B51">
        <v>4</v>
      </c>
      <c r="C51" t="s">
        <v>569</v>
      </c>
      <c r="D51" s="87"/>
      <c r="E51" t="s">
        <v>556</v>
      </c>
      <c r="F51" t="s">
        <v>638</v>
      </c>
      <c r="G51" t="s">
        <v>59</v>
      </c>
    </row>
    <row r="52" spans="2:7">
      <c r="B52">
        <v>4</v>
      </c>
      <c r="C52" t="s">
        <v>569</v>
      </c>
      <c r="D52" s="87"/>
      <c r="G52" t="s">
        <v>66</v>
      </c>
    </row>
    <row r="53" spans="2:7" ht="68">
      <c r="B53">
        <v>5</v>
      </c>
      <c r="C53" t="s">
        <v>587</v>
      </c>
      <c r="D53" s="87" t="s">
        <v>588</v>
      </c>
      <c r="E53" t="s">
        <v>142</v>
      </c>
      <c r="F53" t="s">
        <v>22</v>
      </c>
      <c r="G53" t="s">
        <v>48</v>
      </c>
    </row>
    <row r="54" spans="2:7">
      <c r="B54">
        <v>5</v>
      </c>
      <c r="C54" t="s">
        <v>589</v>
      </c>
      <c r="D54" s="87"/>
      <c r="E54" t="s">
        <v>142</v>
      </c>
      <c r="F54" t="s">
        <v>22</v>
      </c>
      <c r="G54" t="s">
        <v>54</v>
      </c>
    </row>
    <row r="55" spans="2:7">
      <c r="B55">
        <v>5</v>
      </c>
      <c r="C55" t="s">
        <v>587</v>
      </c>
      <c r="D55" s="87"/>
      <c r="E55" t="s">
        <v>142</v>
      </c>
      <c r="F55" t="s">
        <v>598</v>
      </c>
      <c r="G55" t="s">
        <v>89</v>
      </c>
    </row>
    <row r="56" spans="2:7">
      <c r="B56">
        <v>5</v>
      </c>
      <c r="C56" t="s">
        <v>587</v>
      </c>
      <c r="D56" s="87"/>
      <c r="E56" t="s">
        <v>142</v>
      </c>
      <c r="F56" t="s">
        <v>598</v>
      </c>
      <c r="G56" t="s">
        <v>88</v>
      </c>
    </row>
    <row r="57" spans="2:7">
      <c r="B57">
        <v>5</v>
      </c>
      <c r="C57" t="s">
        <v>601</v>
      </c>
      <c r="D57" s="87"/>
      <c r="E57" t="s">
        <v>142</v>
      </c>
      <c r="F57" t="s">
        <v>598</v>
      </c>
      <c r="G57" t="s">
        <v>85</v>
      </c>
    </row>
    <row r="58" spans="2:7" ht="51">
      <c r="B58">
        <v>5</v>
      </c>
      <c r="C58" t="s">
        <v>602</v>
      </c>
      <c r="D58" s="87" t="s">
        <v>603</v>
      </c>
      <c r="E58" t="s">
        <v>142</v>
      </c>
      <c r="F58" t="s">
        <v>598</v>
      </c>
      <c r="G58" t="s">
        <v>77</v>
      </c>
    </row>
    <row r="59" spans="2:7">
      <c r="B59">
        <v>5</v>
      </c>
      <c r="C59" t="s">
        <v>602</v>
      </c>
      <c r="D59" s="87"/>
      <c r="E59" t="s">
        <v>142</v>
      </c>
      <c r="F59" t="s">
        <v>598</v>
      </c>
      <c r="G59" t="s">
        <v>78</v>
      </c>
    </row>
    <row r="60" spans="2:7">
      <c r="B60">
        <v>5</v>
      </c>
      <c r="C60" t="s">
        <v>589</v>
      </c>
      <c r="D60" s="87"/>
      <c r="E60" t="s">
        <v>142</v>
      </c>
      <c r="F60" t="s">
        <v>598</v>
      </c>
      <c r="G60" t="s">
        <v>91</v>
      </c>
    </row>
    <row r="61" spans="2:7" ht="34">
      <c r="B61">
        <v>5</v>
      </c>
      <c r="C61" t="s">
        <v>604</v>
      </c>
      <c r="D61" s="87" t="s">
        <v>605</v>
      </c>
      <c r="E61" t="s">
        <v>142</v>
      </c>
      <c r="F61" t="s">
        <v>598</v>
      </c>
      <c r="G61" t="s">
        <v>86</v>
      </c>
    </row>
    <row r="62" spans="2:7">
      <c r="B62">
        <v>5</v>
      </c>
      <c r="C62" t="s">
        <v>589</v>
      </c>
      <c r="D62" s="87"/>
      <c r="E62" t="s">
        <v>142</v>
      </c>
      <c r="F62" t="s">
        <v>598</v>
      </c>
      <c r="G62" t="s">
        <v>125</v>
      </c>
    </row>
    <row r="63" spans="2:7">
      <c r="B63">
        <v>5</v>
      </c>
      <c r="C63" t="s">
        <v>621</v>
      </c>
      <c r="D63" s="87"/>
      <c r="E63" t="s">
        <v>142</v>
      </c>
      <c r="F63" t="s">
        <v>33</v>
      </c>
      <c r="G63" t="s">
        <v>100</v>
      </c>
    </row>
    <row r="64" spans="2:7">
      <c r="B64">
        <v>5</v>
      </c>
      <c r="C64" t="s">
        <v>621</v>
      </c>
      <c r="D64" s="87"/>
      <c r="E64" t="s">
        <v>142</v>
      </c>
      <c r="F64" t="s">
        <v>33</v>
      </c>
      <c r="G64" t="s">
        <v>622</v>
      </c>
    </row>
    <row r="65" spans="2:7" ht="34">
      <c r="B65">
        <v>5</v>
      </c>
      <c r="C65" t="s">
        <v>570</v>
      </c>
      <c r="D65" s="87" t="s">
        <v>623</v>
      </c>
      <c r="E65" t="s">
        <v>142</v>
      </c>
      <c r="F65" t="s">
        <v>33</v>
      </c>
      <c r="G65" t="s">
        <v>97</v>
      </c>
    </row>
    <row r="66" spans="2:7">
      <c r="B66">
        <v>5</v>
      </c>
      <c r="C66" t="s">
        <v>626</v>
      </c>
      <c r="D66" s="87"/>
      <c r="E66" t="s">
        <v>142</v>
      </c>
      <c r="F66" t="s">
        <v>187</v>
      </c>
      <c r="G66" t="s">
        <v>105</v>
      </c>
    </row>
    <row r="67" spans="2:7">
      <c r="B67">
        <v>5</v>
      </c>
      <c r="C67" t="s">
        <v>570</v>
      </c>
      <c r="D67" s="87"/>
      <c r="E67" t="s">
        <v>142</v>
      </c>
      <c r="F67" t="s">
        <v>187</v>
      </c>
      <c r="G67" t="s">
        <v>103</v>
      </c>
    </row>
    <row r="68" spans="2:7">
      <c r="B68">
        <v>5</v>
      </c>
      <c r="C68" t="s">
        <v>589</v>
      </c>
      <c r="D68" s="87"/>
      <c r="E68" t="s">
        <v>142</v>
      </c>
      <c r="F68" t="s">
        <v>187</v>
      </c>
      <c r="G68" t="s">
        <v>628</v>
      </c>
    </row>
    <row r="69" spans="2:7">
      <c r="B69">
        <v>5</v>
      </c>
      <c r="C69" t="s">
        <v>589</v>
      </c>
      <c r="D69" s="87"/>
      <c r="E69" t="s">
        <v>142</v>
      </c>
      <c r="F69" t="s">
        <v>187</v>
      </c>
      <c r="G69" t="s">
        <v>110</v>
      </c>
    </row>
    <row r="70" spans="2:7">
      <c r="B70">
        <v>5</v>
      </c>
      <c r="C70" t="s">
        <v>589</v>
      </c>
      <c r="D70" s="87"/>
      <c r="E70" t="s">
        <v>142</v>
      </c>
      <c r="F70" t="s">
        <v>49</v>
      </c>
      <c r="G70" t="s">
        <v>367</v>
      </c>
    </row>
    <row r="71" spans="2:7">
      <c r="B71">
        <v>5</v>
      </c>
      <c r="C71" t="s">
        <v>587</v>
      </c>
      <c r="D71" s="87"/>
      <c r="E71" t="s">
        <v>142</v>
      </c>
      <c r="F71" t="s">
        <v>49</v>
      </c>
      <c r="G71" t="s">
        <v>127</v>
      </c>
    </row>
    <row r="72" spans="2:7">
      <c r="B72">
        <v>5</v>
      </c>
      <c r="C72" t="s">
        <v>589</v>
      </c>
      <c r="D72" s="87"/>
      <c r="E72" t="s">
        <v>142</v>
      </c>
      <c r="F72" t="s">
        <v>49</v>
      </c>
      <c r="G72" t="s">
        <v>107</v>
      </c>
    </row>
    <row r="73" spans="2:7">
      <c r="B73">
        <v>5</v>
      </c>
      <c r="C73" t="s">
        <v>640</v>
      </c>
      <c r="D73" s="87"/>
      <c r="E73" t="s">
        <v>142</v>
      </c>
      <c r="F73" t="s">
        <v>638</v>
      </c>
      <c r="G73" t="s">
        <v>140</v>
      </c>
    </row>
    <row r="74" spans="2:7">
      <c r="B74">
        <v>5</v>
      </c>
      <c r="C74" t="s">
        <v>587</v>
      </c>
      <c r="D74" s="87"/>
      <c r="E74" t="s">
        <v>142</v>
      </c>
      <c r="F74" t="s">
        <v>638</v>
      </c>
      <c r="G74" t="s">
        <v>139</v>
      </c>
    </row>
    <row r="75" spans="2:7">
      <c r="B75">
        <v>5</v>
      </c>
      <c r="C75" t="s">
        <v>644</v>
      </c>
      <c r="D75" s="87"/>
      <c r="E75" t="s">
        <v>142</v>
      </c>
      <c r="F75" t="s">
        <v>638</v>
      </c>
      <c r="G75" t="s">
        <v>138</v>
      </c>
    </row>
    <row r="76" spans="2:7">
      <c r="B76">
        <v>5</v>
      </c>
      <c r="C76" t="s">
        <v>656</v>
      </c>
      <c r="D76" s="87"/>
      <c r="E76" t="s">
        <v>142</v>
      </c>
      <c r="G76" t="s">
        <v>102</v>
      </c>
    </row>
    <row r="77" spans="2:7">
      <c r="B77">
        <v>6</v>
      </c>
      <c r="C77" t="s">
        <v>590</v>
      </c>
      <c r="D77" s="87"/>
      <c r="E77" s="106" t="s">
        <v>142</v>
      </c>
      <c r="F77" s="106" t="s">
        <v>22</v>
      </c>
      <c r="G77" s="106" t="s">
        <v>591</v>
      </c>
    </row>
    <row r="78" spans="2:7">
      <c r="B78">
        <v>6</v>
      </c>
      <c r="C78" t="s">
        <v>590</v>
      </c>
      <c r="D78" s="87"/>
      <c r="E78" t="s">
        <v>142</v>
      </c>
      <c r="F78" t="s">
        <v>22</v>
      </c>
      <c r="G78" t="s">
        <v>47</v>
      </c>
    </row>
    <row r="79" spans="2:7">
      <c r="B79">
        <v>6</v>
      </c>
      <c r="C79" t="s">
        <v>590</v>
      </c>
      <c r="D79" s="87"/>
      <c r="E79" t="s">
        <v>142</v>
      </c>
      <c r="F79" t="s">
        <v>598</v>
      </c>
      <c r="G79" t="s">
        <v>84</v>
      </c>
    </row>
    <row r="80" spans="2:7">
      <c r="B80">
        <v>6</v>
      </c>
      <c r="C80" t="s">
        <v>590</v>
      </c>
      <c r="D80" s="87"/>
      <c r="E80" t="s">
        <v>142</v>
      </c>
      <c r="F80" t="s">
        <v>598</v>
      </c>
      <c r="G80" t="s">
        <v>83</v>
      </c>
    </row>
    <row r="81" spans="2:7">
      <c r="B81">
        <v>6</v>
      </c>
      <c r="C81" t="s">
        <v>590</v>
      </c>
      <c r="D81" s="87"/>
      <c r="E81" t="s">
        <v>142</v>
      </c>
      <c r="F81" t="s">
        <v>598</v>
      </c>
      <c r="G81" t="s">
        <v>82</v>
      </c>
    </row>
    <row r="82" spans="2:7">
      <c r="B82">
        <v>6</v>
      </c>
      <c r="C82" t="s">
        <v>590</v>
      </c>
      <c r="D82" s="87"/>
      <c r="E82" t="s">
        <v>142</v>
      </c>
      <c r="F82" t="s">
        <v>187</v>
      </c>
      <c r="G82" t="s">
        <v>106</v>
      </c>
    </row>
    <row r="83" spans="2:7">
      <c r="B83">
        <v>6</v>
      </c>
      <c r="C83" t="s">
        <v>627</v>
      </c>
      <c r="D83" s="87"/>
      <c r="E83" t="s">
        <v>142</v>
      </c>
      <c r="F83" t="s">
        <v>187</v>
      </c>
      <c r="G83" t="s">
        <v>108</v>
      </c>
    </row>
    <row r="84" spans="2:7">
      <c r="B84">
        <v>6</v>
      </c>
      <c r="C84" t="s">
        <v>645</v>
      </c>
      <c r="D84" s="87"/>
      <c r="E84" t="s">
        <v>142</v>
      </c>
      <c r="F84" t="s">
        <v>638</v>
      </c>
      <c r="G84" t="s">
        <v>136</v>
      </c>
    </row>
    <row r="85" spans="2:7">
      <c r="B85">
        <v>6</v>
      </c>
      <c r="C85" t="s">
        <v>645</v>
      </c>
      <c r="D85" s="87"/>
      <c r="G85" t="s">
        <v>87</v>
      </c>
    </row>
    <row r="86" spans="2:7" ht="34">
      <c r="B86">
        <v>7</v>
      </c>
      <c r="C86" t="s">
        <v>641</v>
      </c>
      <c r="D86" s="87" t="s">
        <v>642</v>
      </c>
      <c r="G86" t="s">
        <v>643</v>
      </c>
    </row>
    <row r="87" spans="2:7" ht="51">
      <c r="B87">
        <v>7</v>
      </c>
      <c r="C87" t="s">
        <v>641</v>
      </c>
      <c r="D87" s="87" t="s">
        <v>650</v>
      </c>
      <c r="E87" t="s">
        <v>142</v>
      </c>
      <c r="G87" t="s">
        <v>651</v>
      </c>
    </row>
    <row r="88" spans="2:7" ht="17">
      <c r="D88" s="87" t="s">
        <v>599</v>
      </c>
      <c r="E88" t="s">
        <v>142</v>
      </c>
      <c r="F88" t="s">
        <v>598</v>
      </c>
      <c r="G88" t="s">
        <v>37</v>
      </c>
    </row>
    <row r="89" spans="2:7" ht="17">
      <c r="D89" s="87" t="s">
        <v>618</v>
      </c>
      <c r="E89" t="s">
        <v>556</v>
      </c>
      <c r="F89" t="s">
        <v>598</v>
      </c>
      <c r="G89" t="s">
        <v>68</v>
      </c>
    </row>
    <row r="90" spans="2:7" ht="34">
      <c r="D90" s="87" t="s">
        <v>619</v>
      </c>
      <c r="E90" t="s">
        <v>556</v>
      </c>
      <c r="F90" t="s">
        <v>598</v>
      </c>
      <c r="G90" t="s">
        <v>35</v>
      </c>
    </row>
    <row r="91" spans="2:7">
      <c r="C91" t="s">
        <v>649</v>
      </c>
      <c r="D91" s="87"/>
      <c r="E91" t="s">
        <v>556</v>
      </c>
      <c r="F91" t="s">
        <v>638</v>
      </c>
      <c r="G91" t="s">
        <v>64</v>
      </c>
    </row>
    <row r="92" spans="2:7">
      <c r="D92" s="87"/>
      <c r="G92" t="s">
        <v>657</v>
      </c>
    </row>
    <row r="93" spans="2:7">
      <c r="D93" s="87"/>
      <c r="G93" t="s">
        <v>658</v>
      </c>
    </row>
    <row r="94" spans="2:7">
      <c r="D94" s="87"/>
      <c r="G94" t="s">
        <v>659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0669-9BF8-4859-B98C-0CAC3BBC7E98}">
  <sheetPr codeName="Sheet9"/>
  <dimension ref="B1:M212"/>
  <sheetViews>
    <sheetView workbookViewId="0">
      <selection activeCell="G121" sqref="G121"/>
    </sheetView>
  </sheetViews>
  <sheetFormatPr baseColWidth="10" defaultColWidth="10.83203125" defaultRowHeight="16"/>
  <cols>
    <col min="2" max="2" width="10.83203125" customWidth="1"/>
    <col min="3" max="3" width="13.6640625" style="87" customWidth="1"/>
    <col min="4" max="4" width="14.1640625" customWidth="1"/>
    <col min="5" max="5" width="12.6640625" customWidth="1"/>
    <col min="6" max="6" width="10.83203125" customWidth="1"/>
    <col min="7" max="7" width="16" style="73" customWidth="1"/>
    <col min="8" max="8" width="16.83203125" style="73" customWidth="1"/>
    <col min="9" max="9" width="12.83203125" style="80" customWidth="1"/>
    <col min="10" max="10" width="16.5" style="80" customWidth="1"/>
    <col min="11" max="11" width="16.1640625" style="84" customWidth="1"/>
    <col min="12" max="12" width="9.5" customWidth="1"/>
  </cols>
  <sheetData>
    <row r="1" spans="2:13" ht="51">
      <c r="B1" t="s">
        <v>579</v>
      </c>
      <c r="C1" s="87" t="s">
        <v>580</v>
      </c>
      <c r="D1" s="137" t="s">
        <v>581</v>
      </c>
      <c r="F1" t="s">
        <v>582</v>
      </c>
    </row>
    <row r="2" spans="2:13">
      <c r="B2" t="s">
        <v>666</v>
      </c>
      <c r="E2" t="s">
        <v>584</v>
      </c>
      <c r="F2">
        <v>0.5</v>
      </c>
    </row>
    <row r="4" spans="2:13" s="74" customFormat="1" ht="34">
      <c r="B4" s="138" t="s">
        <v>4</v>
      </c>
      <c r="C4" s="139" t="s">
        <v>585</v>
      </c>
      <c r="D4" s="77" t="s">
        <v>4</v>
      </c>
      <c r="E4" s="77" t="s">
        <v>5</v>
      </c>
      <c r="F4" s="77" t="s">
        <v>6</v>
      </c>
      <c r="G4" s="78" t="s">
        <v>7</v>
      </c>
      <c r="H4" s="78" t="s">
        <v>8</v>
      </c>
      <c r="I4" s="81" t="s">
        <v>9</v>
      </c>
      <c r="J4" s="81" t="s">
        <v>10</v>
      </c>
      <c r="K4" s="81" t="s">
        <v>11</v>
      </c>
      <c r="L4" s="149" t="s">
        <v>586</v>
      </c>
    </row>
    <row r="5" spans="2:13" ht="136">
      <c r="B5" s="204" t="s">
        <v>587</v>
      </c>
      <c r="C5" s="205" t="s">
        <v>588</v>
      </c>
      <c r="D5" t="s">
        <v>142</v>
      </c>
      <c r="E5" t="s">
        <v>22</v>
      </c>
      <c r="F5" t="s">
        <v>48</v>
      </c>
      <c r="G5" s="75">
        <f>H5*(1+$F$2)</f>
        <v>2.9849999999999999</v>
      </c>
      <c r="H5" s="79">
        <f>AVERAGE(I5:K5)</f>
        <v>1.99</v>
      </c>
      <c r="I5" s="79"/>
      <c r="J5" s="79">
        <v>1.99</v>
      </c>
      <c r="K5" s="79"/>
      <c r="L5" s="140"/>
    </row>
    <row r="6" spans="2:13">
      <c r="B6" s="204" t="s">
        <v>589</v>
      </c>
      <c r="C6" s="205"/>
      <c r="D6" t="s">
        <v>142</v>
      </c>
      <c r="E6" t="s">
        <v>22</v>
      </c>
      <c r="F6" t="s">
        <v>54</v>
      </c>
      <c r="G6" s="75">
        <f>H6*(1+$F$2)</f>
        <v>3.3000000000000003</v>
      </c>
      <c r="H6" s="79">
        <f>AVERAGE(I6:K6)</f>
        <v>2.2000000000000002</v>
      </c>
      <c r="I6" s="79"/>
      <c r="J6" s="79"/>
      <c r="K6" s="79">
        <v>2.2000000000000002</v>
      </c>
      <c r="L6" s="140"/>
    </row>
    <row r="7" spans="2:13">
      <c r="B7" s="204" t="s">
        <v>590</v>
      </c>
      <c r="C7" s="205"/>
      <c r="D7" s="106" t="s">
        <v>142</v>
      </c>
      <c r="E7" s="106" t="s">
        <v>22</v>
      </c>
      <c r="F7" s="106" t="s">
        <v>591</v>
      </c>
      <c r="G7" s="107">
        <f t="shared" ref="G7" si="0">H7*(1+$F$2)</f>
        <v>6.75</v>
      </c>
      <c r="H7" s="108">
        <f t="shared" ref="H7" si="1">AVERAGE(I7:K7)</f>
        <v>4.5</v>
      </c>
      <c r="I7" s="108">
        <v>4.5</v>
      </c>
      <c r="J7" s="108"/>
      <c r="K7" s="108"/>
      <c r="L7" s="140"/>
      <c r="M7" s="106" t="s">
        <v>592</v>
      </c>
    </row>
    <row r="8" spans="2:13">
      <c r="B8" s="204" t="s">
        <v>590</v>
      </c>
      <c r="C8" s="205"/>
      <c r="D8" t="s">
        <v>142</v>
      </c>
      <c r="E8" t="s">
        <v>22</v>
      </c>
      <c r="F8" t="s">
        <v>47</v>
      </c>
      <c r="G8" s="75">
        <f t="shared" ref="G8:G39" si="2">H8*(1+$F$2)</f>
        <v>3.9000000000000004</v>
      </c>
      <c r="H8" s="79">
        <f t="shared" ref="H8:H39" si="3">AVERAGE(I8:K8)</f>
        <v>2.6</v>
      </c>
      <c r="I8" s="79"/>
      <c r="J8" s="79">
        <v>2.6</v>
      </c>
      <c r="K8" s="79"/>
      <c r="L8" s="140"/>
    </row>
    <row r="9" spans="2:13" ht="34">
      <c r="B9" s="204" t="s">
        <v>593</v>
      </c>
      <c r="C9" s="205" t="s">
        <v>594</v>
      </c>
      <c r="D9" t="s">
        <v>556</v>
      </c>
      <c r="E9" t="s">
        <v>22</v>
      </c>
      <c r="F9" t="s">
        <v>24</v>
      </c>
      <c r="G9" s="75">
        <f t="shared" si="2"/>
        <v>6.1499999999999995</v>
      </c>
      <c r="H9" s="79">
        <f t="shared" si="3"/>
        <v>4.0999999999999996</v>
      </c>
      <c r="I9" s="79"/>
      <c r="J9" s="79"/>
      <c r="K9" s="79">
        <v>4.0999999999999996</v>
      </c>
      <c r="L9" s="140"/>
    </row>
    <row r="10" spans="2:13" ht="34">
      <c r="B10" s="204" t="s">
        <v>593</v>
      </c>
      <c r="C10" s="205" t="s">
        <v>594</v>
      </c>
      <c r="D10" t="s">
        <v>556</v>
      </c>
      <c r="E10" t="s">
        <v>22</v>
      </c>
      <c r="F10" t="s">
        <v>23</v>
      </c>
      <c r="G10" s="75">
        <f t="shared" si="2"/>
        <v>6.4499999999999993</v>
      </c>
      <c r="H10" s="79">
        <f t="shared" si="3"/>
        <v>4.3</v>
      </c>
      <c r="I10" s="79"/>
      <c r="J10" s="79"/>
      <c r="K10" s="79">
        <v>4.3</v>
      </c>
      <c r="L10" s="140"/>
    </row>
    <row r="11" spans="2:13" ht="34">
      <c r="B11" s="204" t="s">
        <v>593</v>
      </c>
      <c r="C11" s="205" t="s">
        <v>594</v>
      </c>
      <c r="D11" t="s">
        <v>556</v>
      </c>
      <c r="E11" t="s">
        <v>22</v>
      </c>
      <c r="F11" t="s">
        <v>25</v>
      </c>
      <c r="G11" s="75">
        <f t="shared" si="2"/>
        <v>5.9625000000000004</v>
      </c>
      <c r="H11" s="79">
        <f t="shared" si="3"/>
        <v>3.9750000000000001</v>
      </c>
      <c r="I11" s="79">
        <v>4</v>
      </c>
      <c r="J11" s="79">
        <v>3.95</v>
      </c>
      <c r="K11" s="79"/>
      <c r="L11" s="140"/>
    </row>
    <row r="12" spans="2:13" ht="51">
      <c r="B12" s="204" t="s">
        <v>595</v>
      </c>
      <c r="C12" s="205" t="s">
        <v>596</v>
      </c>
      <c r="D12" s="106" t="s">
        <v>556</v>
      </c>
      <c r="E12" s="106" t="s">
        <v>22</v>
      </c>
      <c r="F12" s="106" t="s">
        <v>70</v>
      </c>
      <c r="G12" s="107">
        <f t="shared" si="2"/>
        <v>5.9625000000000004</v>
      </c>
      <c r="H12" s="108">
        <f t="shared" si="3"/>
        <v>3.9750000000000001</v>
      </c>
      <c r="I12" s="108">
        <v>4</v>
      </c>
      <c r="J12" s="108">
        <v>3.95</v>
      </c>
      <c r="K12" s="108"/>
      <c r="L12" s="140"/>
      <c r="M12" s="106" t="s">
        <v>597</v>
      </c>
    </row>
    <row r="13" spans="2:13">
      <c r="B13" s="204" t="s">
        <v>595</v>
      </c>
      <c r="C13" s="205"/>
      <c r="D13" s="106" t="s">
        <v>556</v>
      </c>
      <c r="E13" s="106" t="s">
        <v>22</v>
      </c>
      <c r="F13" s="106" t="s">
        <v>71</v>
      </c>
      <c r="G13" s="107">
        <f t="shared" si="2"/>
        <v>6.7124999999999995</v>
      </c>
      <c r="H13" s="108">
        <f t="shared" si="3"/>
        <v>4.4749999999999996</v>
      </c>
      <c r="I13" s="108">
        <v>4</v>
      </c>
      <c r="J13" s="108">
        <v>4.95</v>
      </c>
      <c r="K13" s="108"/>
      <c r="L13" s="140"/>
      <c r="M13" s="106" t="s">
        <v>597</v>
      </c>
    </row>
    <row r="14" spans="2:13">
      <c r="B14" s="204" t="s">
        <v>595</v>
      </c>
      <c r="C14" s="205"/>
      <c r="D14" s="106" t="s">
        <v>556</v>
      </c>
      <c r="E14" s="106" t="s">
        <v>22</v>
      </c>
      <c r="F14" s="106" t="s">
        <v>73</v>
      </c>
      <c r="G14" s="107">
        <f t="shared" si="2"/>
        <v>4.9499999999999993</v>
      </c>
      <c r="H14" s="108">
        <f t="shared" si="3"/>
        <v>3.3</v>
      </c>
      <c r="I14" s="108">
        <v>3</v>
      </c>
      <c r="J14" s="108">
        <v>3.6</v>
      </c>
      <c r="K14" s="108"/>
      <c r="L14" s="140"/>
      <c r="M14" s="106" t="s">
        <v>597</v>
      </c>
    </row>
    <row r="15" spans="2:13">
      <c r="B15" s="204" t="s">
        <v>595</v>
      </c>
      <c r="C15" s="205"/>
      <c r="D15" s="106" t="s">
        <v>556</v>
      </c>
      <c r="E15" s="106" t="s">
        <v>22</v>
      </c>
      <c r="F15" s="106" t="s">
        <v>72</v>
      </c>
      <c r="G15" s="107">
        <f t="shared" si="2"/>
        <v>5.9625000000000004</v>
      </c>
      <c r="H15" s="108">
        <f t="shared" si="3"/>
        <v>3.9750000000000001</v>
      </c>
      <c r="I15" s="108">
        <v>4</v>
      </c>
      <c r="J15" s="108">
        <v>3.95</v>
      </c>
      <c r="K15" s="108"/>
      <c r="L15" s="140"/>
      <c r="M15" s="106" t="s">
        <v>597</v>
      </c>
    </row>
    <row r="16" spans="2:13">
      <c r="B16" s="204" t="s">
        <v>595</v>
      </c>
      <c r="C16" s="205"/>
      <c r="D16" s="106" t="s">
        <v>556</v>
      </c>
      <c r="E16" s="106" t="s">
        <v>22</v>
      </c>
      <c r="F16" s="106" t="s">
        <v>74</v>
      </c>
      <c r="G16" s="107">
        <f t="shared" si="2"/>
        <v>4.9875000000000007</v>
      </c>
      <c r="H16" s="108">
        <f t="shared" si="3"/>
        <v>3.3250000000000002</v>
      </c>
      <c r="I16" s="108">
        <v>3</v>
      </c>
      <c r="J16" s="108">
        <v>3.65</v>
      </c>
      <c r="K16" s="108"/>
      <c r="L16" s="140"/>
      <c r="M16" s="106" t="s">
        <v>597</v>
      </c>
    </row>
    <row r="17" spans="2:12">
      <c r="B17" s="204" t="s">
        <v>587</v>
      </c>
      <c r="C17" s="205"/>
      <c r="D17" t="s">
        <v>142</v>
      </c>
      <c r="E17" t="s">
        <v>598</v>
      </c>
      <c r="F17" t="s">
        <v>89</v>
      </c>
      <c r="G17" s="75">
        <f t="shared" si="2"/>
        <v>1.5</v>
      </c>
      <c r="H17" s="79">
        <f t="shared" si="3"/>
        <v>1</v>
      </c>
      <c r="I17" s="79"/>
      <c r="J17" s="79">
        <v>1</v>
      </c>
      <c r="K17" s="79"/>
      <c r="L17" s="140"/>
    </row>
    <row r="18" spans="2:12" ht="34">
      <c r="B18" s="204"/>
      <c r="C18" s="205" t="s">
        <v>599</v>
      </c>
      <c r="D18" t="s">
        <v>142</v>
      </c>
      <c r="E18" t="s">
        <v>598</v>
      </c>
      <c r="F18" t="s">
        <v>37</v>
      </c>
      <c r="G18" s="75">
        <f t="shared" si="2"/>
        <v>2.6850000000000001</v>
      </c>
      <c r="H18" s="79">
        <f t="shared" si="3"/>
        <v>1.79</v>
      </c>
      <c r="I18" s="79"/>
      <c r="J18" s="79">
        <v>1.79</v>
      </c>
      <c r="K18" s="79"/>
      <c r="L18" s="140"/>
    </row>
    <row r="19" spans="2:12">
      <c r="B19" s="204" t="s">
        <v>590</v>
      </c>
      <c r="C19" s="205"/>
      <c r="D19" t="s">
        <v>142</v>
      </c>
      <c r="E19" t="s">
        <v>598</v>
      </c>
      <c r="F19" t="s">
        <v>84</v>
      </c>
      <c r="G19" s="75">
        <f t="shared" si="2"/>
        <v>3.1500000000000004</v>
      </c>
      <c r="H19" s="79">
        <f t="shared" si="3"/>
        <v>2.1</v>
      </c>
      <c r="I19" s="79"/>
      <c r="J19" s="79"/>
      <c r="K19" s="79">
        <v>2.1</v>
      </c>
      <c r="L19" s="140"/>
    </row>
    <row r="20" spans="2:12">
      <c r="B20" s="204" t="s">
        <v>590</v>
      </c>
      <c r="C20" s="205"/>
      <c r="D20" t="s">
        <v>142</v>
      </c>
      <c r="E20" t="s">
        <v>598</v>
      </c>
      <c r="F20" t="s">
        <v>83</v>
      </c>
      <c r="G20" s="75">
        <f t="shared" si="2"/>
        <v>4.5</v>
      </c>
      <c r="H20" s="79">
        <f t="shared" si="3"/>
        <v>3</v>
      </c>
      <c r="I20" s="79">
        <v>3</v>
      </c>
      <c r="J20" s="79"/>
      <c r="K20" s="79"/>
      <c r="L20" s="140"/>
    </row>
    <row r="21" spans="2:12">
      <c r="B21" s="204" t="s">
        <v>587</v>
      </c>
      <c r="C21" s="205"/>
      <c r="D21" t="s">
        <v>142</v>
      </c>
      <c r="E21" t="s">
        <v>598</v>
      </c>
      <c r="F21" t="s">
        <v>88</v>
      </c>
      <c r="G21" s="75">
        <f t="shared" si="2"/>
        <v>2.0999999999999996</v>
      </c>
      <c r="H21" s="79">
        <f t="shared" si="3"/>
        <v>1.4</v>
      </c>
      <c r="I21" s="79">
        <v>1.4</v>
      </c>
      <c r="J21" s="79"/>
      <c r="K21" s="79"/>
      <c r="L21" s="140"/>
    </row>
    <row r="22" spans="2:12">
      <c r="B22" s="204" t="s">
        <v>600</v>
      </c>
      <c r="C22" s="205"/>
      <c r="D22" t="s">
        <v>142</v>
      </c>
      <c r="E22" t="s">
        <v>598</v>
      </c>
      <c r="F22" t="s">
        <v>80</v>
      </c>
      <c r="G22" s="75">
        <f t="shared" si="2"/>
        <v>1.875</v>
      </c>
      <c r="H22" s="79">
        <f t="shared" si="3"/>
        <v>1.25</v>
      </c>
      <c r="I22" s="79">
        <v>1.3</v>
      </c>
      <c r="J22" s="79">
        <v>1.2</v>
      </c>
      <c r="K22" s="79"/>
      <c r="L22" s="140"/>
    </row>
    <row r="23" spans="2:12">
      <c r="B23" s="204" t="s">
        <v>601</v>
      </c>
      <c r="C23" s="205"/>
      <c r="D23" t="s">
        <v>142</v>
      </c>
      <c r="E23" t="s">
        <v>598</v>
      </c>
      <c r="F23" t="s">
        <v>85</v>
      </c>
      <c r="G23" s="75">
        <f t="shared" si="2"/>
        <v>1.5</v>
      </c>
      <c r="H23" s="79">
        <f t="shared" si="3"/>
        <v>1</v>
      </c>
      <c r="I23" s="79"/>
      <c r="J23" s="79"/>
      <c r="K23" s="79">
        <v>1</v>
      </c>
      <c r="L23" s="140"/>
    </row>
    <row r="24" spans="2:12" ht="85">
      <c r="B24" s="204" t="s">
        <v>602</v>
      </c>
      <c r="C24" s="205" t="s">
        <v>603</v>
      </c>
      <c r="D24" t="s">
        <v>142</v>
      </c>
      <c r="E24" t="s">
        <v>598</v>
      </c>
      <c r="F24" t="s">
        <v>77</v>
      </c>
      <c r="G24" s="75">
        <f t="shared" si="2"/>
        <v>1.7999999999999998</v>
      </c>
      <c r="H24" s="79">
        <f t="shared" si="3"/>
        <v>1.2</v>
      </c>
      <c r="I24" s="79">
        <v>1.4</v>
      </c>
      <c r="J24" s="79"/>
      <c r="K24" s="79">
        <v>1</v>
      </c>
      <c r="L24" s="140"/>
    </row>
    <row r="25" spans="2:12">
      <c r="B25" s="204" t="s">
        <v>602</v>
      </c>
      <c r="C25" s="205"/>
      <c r="D25" t="s">
        <v>142</v>
      </c>
      <c r="E25" t="s">
        <v>598</v>
      </c>
      <c r="F25" t="s">
        <v>78</v>
      </c>
      <c r="G25" s="75">
        <f t="shared" si="2"/>
        <v>2.0999999999999996</v>
      </c>
      <c r="H25" s="79">
        <f t="shared" si="3"/>
        <v>1.4</v>
      </c>
      <c r="I25" s="79"/>
      <c r="J25" s="79"/>
      <c r="K25" s="79">
        <v>1.4</v>
      </c>
      <c r="L25" s="140"/>
    </row>
    <row r="26" spans="2:12">
      <c r="B26" s="204" t="s">
        <v>589</v>
      </c>
      <c r="C26" s="205"/>
      <c r="D26" t="s">
        <v>142</v>
      </c>
      <c r="E26" t="s">
        <v>598</v>
      </c>
      <c r="F26" t="s">
        <v>91</v>
      </c>
      <c r="G26" s="75">
        <f t="shared" si="2"/>
        <v>1.6500000000000001</v>
      </c>
      <c r="H26" s="79">
        <f t="shared" si="3"/>
        <v>1.1000000000000001</v>
      </c>
      <c r="I26" s="79">
        <v>1.2</v>
      </c>
      <c r="J26" s="79"/>
      <c r="K26" s="79">
        <v>1</v>
      </c>
      <c r="L26" s="140"/>
    </row>
    <row r="27" spans="2:12" ht="68">
      <c r="B27" s="204" t="s">
        <v>604</v>
      </c>
      <c r="C27" s="205" t="s">
        <v>605</v>
      </c>
      <c r="D27" t="s">
        <v>142</v>
      </c>
      <c r="E27" t="s">
        <v>598</v>
      </c>
      <c r="F27" t="s">
        <v>86</v>
      </c>
      <c r="G27" s="75">
        <f t="shared" si="2"/>
        <v>3.3562499999999997</v>
      </c>
      <c r="H27" s="79">
        <f t="shared" si="3"/>
        <v>2.2374999999999998</v>
      </c>
      <c r="I27" s="79">
        <f>17.25/10</f>
        <v>1.7250000000000001</v>
      </c>
      <c r="J27" s="79">
        <v>2.75</v>
      </c>
      <c r="K27" s="79"/>
      <c r="L27" s="140"/>
    </row>
    <row r="28" spans="2:12">
      <c r="B28" s="204" t="s">
        <v>600</v>
      </c>
      <c r="C28" s="205"/>
      <c r="D28" t="s">
        <v>142</v>
      </c>
      <c r="E28" t="s">
        <v>598</v>
      </c>
      <c r="F28" t="s">
        <v>118</v>
      </c>
      <c r="G28" s="75">
        <f t="shared" si="2"/>
        <v>2.5875000000000004</v>
      </c>
      <c r="H28" s="79">
        <f t="shared" si="3"/>
        <v>1.7250000000000001</v>
      </c>
      <c r="I28" s="79">
        <v>1.55</v>
      </c>
      <c r="J28" s="79">
        <v>1.9</v>
      </c>
      <c r="K28" s="79"/>
      <c r="L28" s="140"/>
    </row>
    <row r="29" spans="2:12" ht="102">
      <c r="B29" s="204" t="s">
        <v>606</v>
      </c>
      <c r="C29" s="205" t="s">
        <v>607</v>
      </c>
      <c r="D29" t="s">
        <v>142</v>
      </c>
      <c r="E29" t="s">
        <v>598</v>
      </c>
      <c r="F29" t="s">
        <v>81</v>
      </c>
      <c r="G29" s="75">
        <f t="shared" si="2"/>
        <v>2.4000000000000004</v>
      </c>
      <c r="H29" s="79">
        <f t="shared" si="3"/>
        <v>1.6</v>
      </c>
      <c r="I29" s="79"/>
      <c r="J29" s="79">
        <v>1.6</v>
      </c>
      <c r="K29" s="79"/>
      <c r="L29" s="140"/>
    </row>
    <row r="30" spans="2:12" ht="102">
      <c r="B30" s="204" t="s">
        <v>606</v>
      </c>
      <c r="C30" s="205" t="s">
        <v>607</v>
      </c>
      <c r="D30" t="s">
        <v>142</v>
      </c>
      <c r="E30" t="s">
        <v>598</v>
      </c>
      <c r="F30" t="s">
        <v>122</v>
      </c>
      <c r="G30" s="75">
        <f t="shared" si="2"/>
        <v>3.5999999999999996</v>
      </c>
      <c r="H30" s="79">
        <f t="shared" si="3"/>
        <v>2.4</v>
      </c>
      <c r="I30" s="79"/>
      <c r="J30" s="79">
        <v>2.4</v>
      </c>
      <c r="K30" s="79"/>
      <c r="L30" s="140"/>
    </row>
    <row r="31" spans="2:12">
      <c r="B31" s="204" t="s">
        <v>589</v>
      </c>
      <c r="C31" s="205"/>
      <c r="D31" t="s">
        <v>142</v>
      </c>
      <c r="E31" t="s">
        <v>598</v>
      </c>
      <c r="F31" t="s">
        <v>125</v>
      </c>
      <c r="G31" s="75">
        <f t="shared" si="2"/>
        <v>2.2574999999999998</v>
      </c>
      <c r="H31" s="79">
        <f t="shared" si="3"/>
        <v>1.5049999999999999</v>
      </c>
      <c r="I31" s="79">
        <v>1.3</v>
      </c>
      <c r="J31" s="79">
        <v>1.71</v>
      </c>
      <c r="K31" s="79"/>
      <c r="L31" s="140"/>
    </row>
    <row r="32" spans="2:12">
      <c r="B32" s="204" t="s">
        <v>590</v>
      </c>
      <c r="C32" s="205"/>
      <c r="D32" t="s">
        <v>142</v>
      </c>
      <c r="E32" t="s">
        <v>598</v>
      </c>
      <c r="F32" t="s">
        <v>82</v>
      </c>
      <c r="G32" s="75">
        <f t="shared" si="2"/>
        <v>2.4000000000000004</v>
      </c>
      <c r="H32" s="79">
        <f t="shared" si="3"/>
        <v>1.6</v>
      </c>
      <c r="I32" s="79">
        <v>1.4</v>
      </c>
      <c r="J32" s="79">
        <v>1.8</v>
      </c>
      <c r="K32" s="79"/>
      <c r="L32" s="140"/>
    </row>
    <row r="33" spans="2:12">
      <c r="B33" s="204" t="s">
        <v>608</v>
      </c>
      <c r="C33" s="205"/>
      <c r="D33" t="s">
        <v>556</v>
      </c>
      <c r="E33" t="s">
        <v>598</v>
      </c>
      <c r="F33" t="s">
        <v>32</v>
      </c>
      <c r="G33" s="75">
        <f t="shared" si="2"/>
        <v>3.0749999999999997</v>
      </c>
      <c r="H33" s="79">
        <f t="shared" si="3"/>
        <v>2.0499999999999998</v>
      </c>
      <c r="I33" s="79"/>
      <c r="J33" s="79">
        <v>2.0499999999999998</v>
      </c>
      <c r="K33" s="79"/>
      <c r="L33" s="140"/>
    </row>
    <row r="34" spans="2:12">
      <c r="B34" s="204" t="s">
        <v>608</v>
      </c>
      <c r="C34" s="205"/>
      <c r="D34" t="s">
        <v>556</v>
      </c>
      <c r="E34" t="s">
        <v>598</v>
      </c>
      <c r="F34" t="s">
        <v>27</v>
      </c>
      <c r="G34" s="75">
        <f t="shared" si="2"/>
        <v>2.8499999999999996</v>
      </c>
      <c r="H34" s="79">
        <f t="shared" si="3"/>
        <v>1.9</v>
      </c>
      <c r="I34" s="79"/>
      <c r="J34" s="79">
        <v>1.9</v>
      </c>
      <c r="K34" s="79"/>
      <c r="L34" s="140"/>
    </row>
    <row r="35" spans="2:12">
      <c r="B35" s="204" t="s">
        <v>609</v>
      </c>
      <c r="C35" s="205"/>
      <c r="D35" t="s">
        <v>556</v>
      </c>
      <c r="E35" t="s">
        <v>598</v>
      </c>
      <c r="F35" t="s">
        <v>31</v>
      </c>
      <c r="G35" s="75">
        <f t="shared" si="2"/>
        <v>2.25</v>
      </c>
      <c r="H35" s="79">
        <f t="shared" si="3"/>
        <v>1.5</v>
      </c>
      <c r="I35" s="79"/>
      <c r="J35" s="79"/>
      <c r="K35" s="79">
        <f>15/10</f>
        <v>1.5</v>
      </c>
      <c r="L35" s="140"/>
    </row>
    <row r="36" spans="2:12">
      <c r="B36" s="204" t="s">
        <v>609</v>
      </c>
      <c r="C36" s="205"/>
      <c r="D36" t="s">
        <v>556</v>
      </c>
      <c r="E36" t="s">
        <v>598</v>
      </c>
      <c r="F36" t="s">
        <v>562</v>
      </c>
      <c r="G36" s="75">
        <f t="shared" si="2"/>
        <v>1.4249999999999998</v>
      </c>
      <c r="H36" s="79">
        <f t="shared" si="3"/>
        <v>0.95</v>
      </c>
      <c r="I36" s="79"/>
      <c r="J36" s="79"/>
      <c r="K36" s="79">
        <f>9.5/10</f>
        <v>0.95</v>
      </c>
      <c r="L36" s="140"/>
    </row>
    <row r="37" spans="2:12">
      <c r="B37" s="204" t="s">
        <v>610</v>
      </c>
      <c r="C37" s="205"/>
      <c r="D37" t="s">
        <v>556</v>
      </c>
      <c r="E37" t="s">
        <v>598</v>
      </c>
      <c r="F37" t="s">
        <v>29</v>
      </c>
      <c r="G37" s="75">
        <f t="shared" si="2"/>
        <v>1.5</v>
      </c>
      <c r="H37" s="79">
        <f t="shared" si="3"/>
        <v>1</v>
      </c>
      <c r="I37" s="79">
        <v>1.1000000000000001</v>
      </c>
      <c r="J37" s="79">
        <v>0.9</v>
      </c>
      <c r="K37" s="79"/>
      <c r="L37" s="140"/>
    </row>
    <row r="38" spans="2:12" ht="153">
      <c r="B38" s="204" t="s">
        <v>611</v>
      </c>
      <c r="C38" s="205" t="s">
        <v>612</v>
      </c>
      <c r="D38" t="s">
        <v>556</v>
      </c>
      <c r="E38" t="s">
        <v>598</v>
      </c>
      <c r="F38" t="s">
        <v>40</v>
      </c>
      <c r="G38" s="75">
        <f t="shared" si="2"/>
        <v>2.1749999999999998</v>
      </c>
      <c r="H38" s="79">
        <f t="shared" si="3"/>
        <v>1.45</v>
      </c>
      <c r="I38" s="79">
        <v>1.4</v>
      </c>
      <c r="J38" s="79">
        <v>1.5</v>
      </c>
      <c r="K38" s="79"/>
      <c r="L38" s="140"/>
    </row>
    <row r="39" spans="2:12">
      <c r="B39" s="204" t="s">
        <v>613</v>
      </c>
      <c r="C39" s="205"/>
      <c r="D39" t="s">
        <v>556</v>
      </c>
      <c r="E39" t="s">
        <v>598</v>
      </c>
      <c r="F39" t="s">
        <v>120</v>
      </c>
      <c r="G39" s="75">
        <f t="shared" si="2"/>
        <v>2.5499999999999998</v>
      </c>
      <c r="H39" s="79">
        <f t="shared" si="3"/>
        <v>1.7</v>
      </c>
      <c r="I39" s="79">
        <v>1.4</v>
      </c>
      <c r="J39" s="79">
        <v>2</v>
      </c>
      <c r="K39" s="79"/>
      <c r="L39" s="140"/>
    </row>
    <row r="40" spans="2:12" ht="33" customHeight="1">
      <c r="B40" s="204" t="s">
        <v>614</v>
      </c>
      <c r="C40" s="205" t="s">
        <v>615</v>
      </c>
      <c r="D40" t="s">
        <v>556</v>
      </c>
      <c r="E40" t="s">
        <v>598</v>
      </c>
      <c r="F40" t="s">
        <v>58</v>
      </c>
      <c r="G40" s="75">
        <f t="shared" ref="G40:G71" si="4">H40*(1+$F$2)</f>
        <v>1.6875</v>
      </c>
      <c r="H40" s="79">
        <f t="shared" ref="H40:H71" si="5">AVERAGE(I40:K40)</f>
        <v>1.125</v>
      </c>
      <c r="I40" s="79">
        <v>0.75</v>
      </c>
      <c r="J40" s="79">
        <v>1.5</v>
      </c>
      <c r="K40" s="79"/>
      <c r="L40" s="140"/>
    </row>
    <row r="41" spans="2:12">
      <c r="B41" s="204" t="s">
        <v>614</v>
      </c>
      <c r="C41" s="205"/>
      <c r="D41" t="s">
        <v>556</v>
      </c>
      <c r="E41" t="s">
        <v>598</v>
      </c>
      <c r="F41" t="s">
        <v>57</v>
      </c>
      <c r="G41" s="75">
        <f t="shared" si="4"/>
        <v>1.875</v>
      </c>
      <c r="H41" s="79">
        <f t="shared" si="5"/>
        <v>1.25</v>
      </c>
      <c r="I41" s="79">
        <v>1.1000000000000001</v>
      </c>
      <c r="J41" s="79">
        <v>1.4</v>
      </c>
      <c r="K41" s="79"/>
      <c r="L41" s="140"/>
    </row>
    <row r="42" spans="2:12" ht="51">
      <c r="B42" s="204" t="s">
        <v>569</v>
      </c>
      <c r="C42" s="205" t="s">
        <v>616</v>
      </c>
      <c r="D42" t="s">
        <v>556</v>
      </c>
      <c r="E42" t="s">
        <v>598</v>
      </c>
      <c r="F42" t="s">
        <v>62</v>
      </c>
      <c r="G42" s="75">
        <f t="shared" si="4"/>
        <v>2.2125000000000004</v>
      </c>
      <c r="H42" s="79">
        <f t="shared" si="5"/>
        <v>1.4750000000000001</v>
      </c>
      <c r="I42" s="79">
        <v>1.25</v>
      </c>
      <c r="J42" s="79">
        <v>1.7</v>
      </c>
      <c r="K42" s="79"/>
      <c r="L42" s="140"/>
    </row>
    <row r="43" spans="2:12">
      <c r="B43" s="204" t="s">
        <v>617</v>
      </c>
      <c r="C43" s="205"/>
      <c r="D43" t="s">
        <v>556</v>
      </c>
      <c r="E43" t="s">
        <v>598</v>
      </c>
      <c r="F43" t="s">
        <v>67</v>
      </c>
      <c r="G43" s="75">
        <f t="shared" si="4"/>
        <v>1.9500000000000002</v>
      </c>
      <c r="H43" s="79">
        <f t="shared" si="5"/>
        <v>1.3</v>
      </c>
      <c r="I43" s="79"/>
      <c r="J43" s="79">
        <v>1.3</v>
      </c>
      <c r="K43" s="79"/>
      <c r="L43" s="140"/>
    </row>
    <row r="44" spans="2:12" ht="17">
      <c r="B44" s="204"/>
      <c r="C44" s="205" t="s">
        <v>618</v>
      </c>
      <c r="D44" t="s">
        <v>556</v>
      </c>
      <c r="E44" t="s">
        <v>598</v>
      </c>
      <c r="F44" t="s">
        <v>68</v>
      </c>
      <c r="G44" s="75">
        <f t="shared" si="4"/>
        <v>3</v>
      </c>
      <c r="H44" s="79">
        <f t="shared" si="5"/>
        <v>2</v>
      </c>
      <c r="I44" s="79"/>
      <c r="J44" s="79"/>
      <c r="K44" s="79">
        <v>2</v>
      </c>
      <c r="L44" s="140"/>
    </row>
    <row r="45" spans="2:12" ht="51">
      <c r="B45" s="204"/>
      <c r="C45" s="205" t="s">
        <v>619</v>
      </c>
      <c r="D45" t="s">
        <v>556</v>
      </c>
      <c r="E45" t="s">
        <v>598</v>
      </c>
      <c r="F45" t="s">
        <v>35</v>
      </c>
      <c r="G45" s="79">
        <f t="shared" si="4"/>
        <v>3</v>
      </c>
      <c r="H45" s="79">
        <f t="shared" si="5"/>
        <v>2</v>
      </c>
      <c r="I45" s="79"/>
      <c r="J45" s="79"/>
      <c r="K45" s="79">
        <v>2</v>
      </c>
      <c r="L45" s="140"/>
    </row>
    <row r="46" spans="2:12">
      <c r="B46" s="204" t="s">
        <v>620</v>
      </c>
      <c r="C46" s="205"/>
      <c r="D46" t="s">
        <v>556</v>
      </c>
      <c r="E46" t="s">
        <v>598</v>
      </c>
      <c r="F46" t="s">
        <v>577</v>
      </c>
      <c r="G46" s="75">
        <f t="shared" si="4"/>
        <v>2.7</v>
      </c>
      <c r="H46" s="79">
        <f t="shared" si="5"/>
        <v>1.8</v>
      </c>
      <c r="I46" s="79">
        <v>1.8</v>
      </c>
      <c r="J46" s="79"/>
      <c r="K46" s="79"/>
      <c r="L46" s="140"/>
    </row>
    <row r="47" spans="2:12">
      <c r="B47" s="204" t="s">
        <v>621</v>
      </c>
      <c r="C47" s="205"/>
      <c r="D47" t="s">
        <v>142</v>
      </c>
      <c r="E47" t="s">
        <v>33</v>
      </c>
      <c r="F47" t="s">
        <v>100</v>
      </c>
      <c r="G47" s="79">
        <f t="shared" si="4"/>
        <v>4.1174999999999997</v>
      </c>
      <c r="H47" s="79">
        <f t="shared" si="5"/>
        <v>2.7450000000000001</v>
      </c>
      <c r="I47" s="79">
        <v>2.5</v>
      </c>
      <c r="J47" s="79">
        <v>2.99</v>
      </c>
      <c r="L47" s="140"/>
    </row>
    <row r="48" spans="2:12">
      <c r="B48" s="204" t="s">
        <v>621</v>
      </c>
      <c r="C48" s="205"/>
      <c r="D48" t="s">
        <v>142</v>
      </c>
      <c r="E48" t="s">
        <v>33</v>
      </c>
      <c r="F48" t="s">
        <v>622</v>
      </c>
      <c r="G48" s="79">
        <f t="shared" si="4"/>
        <v>7.4850000000000003</v>
      </c>
      <c r="H48" s="79">
        <f t="shared" si="5"/>
        <v>4.99</v>
      </c>
      <c r="I48" s="79"/>
      <c r="J48" s="79">
        <v>4.99</v>
      </c>
      <c r="L48" s="140"/>
    </row>
    <row r="49" spans="2:12" ht="51">
      <c r="B49" s="204" t="s">
        <v>570</v>
      </c>
      <c r="C49" s="205" t="s">
        <v>623</v>
      </c>
      <c r="D49" t="s">
        <v>142</v>
      </c>
      <c r="E49" t="s">
        <v>33</v>
      </c>
      <c r="F49" t="s">
        <v>97</v>
      </c>
      <c r="G49" s="79">
        <f t="shared" si="4"/>
        <v>1.7249999999999999</v>
      </c>
      <c r="H49" s="79">
        <f t="shared" si="5"/>
        <v>1.1499999999999999</v>
      </c>
      <c r="I49" s="79">
        <v>1.3</v>
      </c>
      <c r="J49" s="79">
        <v>1</v>
      </c>
      <c r="L49" s="140"/>
    </row>
    <row r="50" spans="2:12">
      <c r="B50" s="204" t="s">
        <v>624</v>
      </c>
      <c r="C50" s="205"/>
      <c r="D50" t="s">
        <v>142</v>
      </c>
      <c r="E50" t="s">
        <v>33</v>
      </c>
      <c r="F50" t="s">
        <v>96</v>
      </c>
      <c r="G50" s="79">
        <f t="shared" si="4"/>
        <v>1.6500000000000001</v>
      </c>
      <c r="H50" s="79">
        <f t="shared" si="5"/>
        <v>1.1000000000000001</v>
      </c>
      <c r="I50" s="79"/>
      <c r="J50" s="79">
        <v>1.1000000000000001</v>
      </c>
      <c r="L50" s="140"/>
    </row>
    <row r="51" spans="2:12" ht="68">
      <c r="B51" s="204" t="s">
        <v>568</v>
      </c>
      <c r="C51" s="205" t="s">
        <v>625</v>
      </c>
      <c r="D51" t="s">
        <v>556</v>
      </c>
      <c r="E51" t="s">
        <v>33</v>
      </c>
      <c r="F51" t="s">
        <v>69</v>
      </c>
      <c r="G51" s="79">
        <f t="shared" si="4"/>
        <v>1.9500000000000002</v>
      </c>
      <c r="H51" s="79">
        <f t="shared" si="5"/>
        <v>1.3</v>
      </c>
      <c r="I51" s="79">
        <v>1.3</v>
      </c>
      <c r="J51" s="79"/>
      <c r="L51" s="140"/>
    </row>
    <row r="52" spans="2:12">
      <c r="B52" s="204" t="s">
        <v>568</v>
      </c>
      <c r="C52" s="205"/>
      <c r="D52" t="s">
        <v>556</v>
      </c>
      <c r="E52" t="s">
        <v>33</v>
      </c>
      <c r="F52" t="s">
        <v>75</v>
      </c>
      <c r="G52" s="79">
        <f t="shared" si="4"/>
        <v>1.5750000000000002</v>
      </c>
      <c r="H52" s="79">
        <f t="shared" si="5"/>
        <v>1.05</v>
      </c>
      <c r="I52" s="79">
        <v>1.1000000000000001</v>
      </c>
      <c r="J52" s="79">
        <v>1</v>
      </c>
      <c r="L52" s="140"/>
    </row>
    <row r="53" spans="2:12">
      <c r="B53" s="204" t="s">
        <v>626</v>
      </c>
      <c r="C53" s="205"/>
      <c r="D53" t="s">
        <v>142</v>
      </c>
      <c r="E53" t="s">
        <v>187</v>
      </c>
      <c r="F53" t="s">
        <v>105</v>
      </c>
      <c r="G53" s="79">
        <f t="shared" si="4"/>
        <v>1.9500000000000002</v>
      </c>
      <c r="H53" s="79">
        <f t="shared" si="5"/>
        <v>1.3</v>
      </c>
      <c r="I53" s="79">
        <v>1.3</v>
      </c>
      <c r="J53" s="79"/>
      <c r="L53" s="140"/>
    </row>
    <row r="54" spans="2:12">
      <c r="B54" s="204" t="s">
        <v>570</v>
      </c>
      <c r="C54" s="205"/>
      <c r="D54" t="s">
        <v>142</v>
      </c>
      <c r="E54" t="s">
        <v>187</v>
      </c>
      <c r="F54" t="s">
        <v>103</v>
      </c>
      <c r="G54" s="79">
        <f t="shared" si="4"/>
        <v>1.7999999999999998</v>
      </c>
      <c r="H54" s="79">
        <f t="shared" si="5"/>
        <v>1.2</v>
      </c>
      <c r="I54" s="79">
        <v>1.2</v>
      </c>
      <c r="J54" s="79"/>
      <c r="L54" s="140"/>
    </row>
    <row r="55" spans="2:12">
      <c r="B55" s="204" t="s">
        <v>590</v>
      </c>
      <c r="C55" s="205"/>
      <c r="D55" t="s">
        <v>142</v>
      </c>
      <c r="E55" t="s">
        <v>187</v>
      </c>
      <c r="F55" t="s">
        <v>106</v>
      </c>
      <c r="G55" s="79">
        <f t="shared" si="4"/>
        <v>2.4000000000000004</v>
      </c>
      <c r="H55" s="79">
        <f t="shared" si="5"/>
        <v>1.6</v>
      </c>
      <c r="I55" s="79">
        <v>1.6</v>
      </c>
      <c r="J55" s="79"/>
      <c r="L55" s="140"/>
    </row>
    <row r="56" spans="2:12">
      <c r="B56" s="204" t="s">
        <v>627</v>
      </c>
      <c r="C56" s="205"/>
      <c r="D56" t="s">
        <v>142</v>
      </c>
      <c r="E56" t="s">
        <v>187</v>
      </c>
      <c r="F56" t="s">
        <v>108</v>
      </c>
      <c r="G56" s="79">
        <f t="shared" si="4"/>
        <v>1.5750000000000002</v>
      </c>
      <c r="H56" s="79">
        <f t="shared" si="5"/>
        <v>1.05</v>
      </c>
      <c r="I56" s="79">
        <v>1.3</v>
      </c>
      <c r="J56" s="79">
        <v>0.8</v>
      </c>
      <c r="L56" s="140"/>
    </row>
    <row r="57" spans="2:12">
      <c r="B57" s="204" t="s">
        <v>589</v>
      </c>
      <c r="C57" s="205"/>
      <c r="D57" t="s">
        <v>142</v>
      </c>
      <c r="E57" t="s">
        <v>187</v>
      </c>
      <c r="F57" t="s">
        <v>628</v>
      </c>
      <c r="G57" s="79">
        <f t="shared" si="4"/>
        <v>2.1749999999999998</v>
      </c>
      <c r="H57" s="79">
        <f t="shared" si="5"/>
        <v>1.45</v>
      </c>
      <c r="I57" s="79">
        <v>1.4</v>
      </c>
      <c r="J57" s="79">
        <v>1.5</v>
      </c>
      <c r="L57" s="140"/>
    </row>
    <row r="58" spans="2:12">
      <c r="B58" s="204" t="s">
        <v>589</v>
      </c>
      <c r="C58" s="205"/>
      <c r="D58" t="s">
        <v>142</v>
      </c>
      <c r="E58" t="s">
        <v>187</v>
      </c>
      <c r="F58" t="s">
        <v>110</v>
      </c>
      <c r="G58" s="79">
        <f t="shared" si="4"/>
        <v>1.125</v>
      </c>
      <c r="H58" s="79">
        <f t="shared" si="5"/>
        <v>0.75</v>
      </c>
      <c r="I58" s="79"/>
      <c r="J58" s="79"/>
      <c r="K58" s="84">
        <v>0.75</v>
      </c>
      <c r="L58" s="140"/>
    </row>
    <row r="59" spans="2:12">
      <c r="B59" s="204" t="s">
        <v>629</v>
      </c>
      <c r="C59" s="205"/>
      <c r="D59" t="s">
        <v>556</v>
      </c>
      <c r="E59" t="s">
        <v>187</v>
      </c>
      <c r="F59" t="s">
        <v>61</v>
      </c>
      <c r="G59" s="79">
        <f t="shared" si="4"/>
        <v>1.5</v>
      </c>
      <c r="H59" s="79">
        <f t="shared" si="5"/>
        <v>1</v>
      </c>
      <c r="I59" s="79"/>
      <c r="J59" s="79">
        <v>1</v>
      </c>
      <c r="L59" s="140"/>
    </row>
    <row r="60" spans="2:12">
      <c r="B60" s="204" t="s">
        <v>630</v>
      </c>
      <c r="C60" s="205"/>
      <c r="D60" t="s">
        <v>556</v>
      </c>
      <c r="E60" t="s">
        <v>187</v>
      </c>
      <c r="F60" t="s">
        <v>60</v>
      </c>
      <c r="G60" s="79">
        <f t="shared" si="4"/>
        <v>1.125</v>
      </c>
      <c r="H60" s="79">
        <f t="shared" si="5"/>
        <v>0.75</v>
      </c>
      <c r="I60" s="79">
        <v>0.75</v>
      </c>
      <c r="J60" s="79"/>
      <c r="L60" s="140"/>
    </row>
    <row r="61" spans="2:12">
      <c r="B61" s="204" t="s">
        <v>569</v>
      </c>
      <c r="C61" s="205"/>
      <c r="D61" t="s">
        <v>556</v>
      </c>
      <c r="E61" t="s">
        <v>187</v>
      </c>
      <c r="F61" t="s">
        <v>65</v>
      </c>
      <c r="G61" s="79">
        <f t="shared" si="4"/>
        <v>1.6949999999999998</v>
      </c>
      <c r="H61" s="79">
        <f t="shared" si="5"/>
        <v>1.1299999999999999</v>
      </c>
      <c r="I61" s="79">
        <v>1.1299999999999999</v>
      </c>
      <c r="J61" s="79"/>
      <c r="L61" s="140"/>
    </row>
    <row r="62" spans="2:12">
      <c r="B62" s="204" t="s">
        <v>609</v>
      </c>
      <c r="C62" s="205"/>
      <c r="D62" t="s">
        <v>556</v>
      </c>
      <c r="E62" t="s">
        <v>187</v>
      </c>
      <c r="F62" t="s">
        <v>44</v>
      </c>
      <c r="G62" s="79">
        <f t="shared" si="4"/>
        <v>1.875</v>
      </c>
      <c r="H62" s="79">
        <f t="shared" si="5"/>
        <v>1.25</v>
      </c>
      <c r="I62" s="79"/>
      <c r="J62" s="79"/>
      <c r="K62" s="84">
        <v>1.25</v>
      </c>
      <c r="L62" s="140"/>
    </row>
    <row r="63" spans="2:12">
      <c r="B63" s="204" t="s">
        <v>569</v>
      </c>
      <c r="C63" s="205"/>
      <c r="D63" t="s">
        <v>556</v>
      </c>
      <c r="E63" t="s">
        <v>187</v>
      </c>
      <c r="F63" t="s">
        <v>45</v>
      </c>
      <c r="G63" s="79">
        <f t="shared" si="4"/>
        <v>2.7</v>
      </c>
      <c r="H63" s="79">
        <f t="shared" si="5"/>
        <v>1.8</v>
      </c>
      <c r="I63" s="79"/>
      <c r="J63" s="79">
        <v>1.8</v>
      </c>
      <c r="L63" s="140"/>
    </row>
    <row r="64" spans="2:12">
      <c r="B64" s="204" t="s">
        <v>629</v>
      </c>
      <c r="C64" s="205"/>
      <c r="D64" t="s">
        <v>556</v>
      </c>
      <c r="E64" t="s">
        <v>187</v>
      </c>
      <c r="F64" t="s">
        <v>43</v>
      </c>
      <c r="G64" s="79">
        <f t="shared" si="4"/>
        <v>1.7249999999999999</v>
      </c>
      <c r="H64" s="79">
        <f t="shared" si="5"/>
        <v>1.1499999999999999</v>
      </c>
      <c r="I64" s="79">
        <v>1.1000000000000001</v>
      </c>
      <c r="J64" s="79">
        <v>1.2</v>
      </c>
      <c r="L64" s="140"/>
    </row>
    <row r="65" spans="2:12">
      <c r="B65" s="204" t="s">
        <v>631</v>
      </c>
      <c r="C65" s="205"/>
      <c r="D65" t="s">
        <v>556</v>
      </c>
      <c r="E65" t="s">
        <v>187</v>
      </c>
      <c r="F65" t="s">
        <v>42</v>
      </c>
      <c r="G65" s="79">
        <f t="shared" si="4"/>
        <v>1.5</v>
      </c>
      <c r="H65" s="79">
        <f t="shared" si="5"/>
        <v>1</v>
      </c>
      <c r="I65" s="79"/>
      <c r="J65" s="79"/>
      <c r="K65" s="84">
        <v>1</v>
      </c>
      <c r="L65" s="140"/>
    </row>
    <row r="66" spans="2:12">
      <c r="B66" s="204" t="s">
        <v>589</v>
      </c>
      <c r="C66" s="205"/>
      <c r="D66" t="s">
        <v>142</v>
      </c>
      <c r="E66" t="s">
        <v>49</v>
      </c>
      <c r="F66" t="s">
        <v>367</v>
      </c>
      <c r="G66" s="79">
        <f t="shared" si="4"/>
        <v>1.5</v>
      </c>
      <c r="H66" s="79">
        <f t="shared" si="5"/>
        <v>1</v>
      </c>
      <c r="I66" s="79"/>
      <c r="J66" s="79"/>
      <c r="K66" s="84">
        <v>1</v>
      </c>
      <c r="L66" s="140"/>
    </row>
    <row r="67" spans="2:12" ht="34">
      <c r="B67" s="204" t="s">
        <v>600</v>
      </c>
      <c r="C67" s="205" t="s">
        <v>632</v>
      </c>
      <c r="D67" t="s">
        <v>142</v>
      </c>
      <c r="E67" t="s">
        <v>49</v>
      </c>
      <c r="F67" t="s">
        <v>95</v>
      </c>
      <c r="G67" s="79">
        <f t="shared" si="4"/>
        <v>1.5</v>
      </c>
      <c r="H67" s="79">
        <f t="shared" si="5"/>
        <v>1</v>
      </c>
      <c r="I67" s="79"/>
      <c r="J67" s="79"/>
      <c r="K67" s="84">
        <v>1</v>
      </c>
      <c r="L67" s="140"/>
    </row>
    <row r="68" spans="2:12">
      <c r="B68" s="204" t="s">
        <v>587</v>
      </c>
      <c r="C68" s="205"/>
      <c r="D68" t="s">
        <v>142</v>
      </c>
      <c r="E68" t="s">
        <v>49</v>
      </c>
      <c r="F68" t="s">
        <v>127</v>
      </c>
      <c r="G68" s="79">
        <f t="shared" si="4"/>
        <v>1.7999999999999998</v>
      </c>
      <c r="H68" s="79">
        <f t="shared" si="5"/>
        <v>1.2</v>
      </c>
      <c r="I68" s="79">
        <v>1.2</v>
      </c>
      <c r="J68" s="79"/>
      <c r="L68" s="140"/>
    </row>
    <row r="69" spans="2:12">
      <c r="B69" s="204" t="s">
        <v>633</v>
      </c>
      <c r="C69" s="205"/>
      <c r="D69" t="s">
        <v>142</v>
      </c>
      <c r="E69" t="s">
        <v>49</v>
      </c>
      <c r="F69" t="s">
        <v>117</v>
      </c>
      <c r="G69" s="79">
        <f t="shared" si="4"/>
        <v>1.6124999999999998</v>
      </c>
      <c r="H69" s="79">
        <f t="shared" si="5"/>
        <v>1.075</v>
      </c>
      <c r="I69" s="79">
        <v>1.25</v>
      </c>
      <c r="J69" s="79">
        <v>0.9</v>
      </c>
      <c r="L69" s="140"/>
    </row>
    <row r="70" spans="2:12">
      <c r="B70" s="204" t="s">
        <v>589</v>
      </c>
      <c r="C70" s="205"/>
      <c r="D70" t="s">
        <v>142</v>
      </c>
      <c r="E70" t="s">
        <v>49</v>
      </c>
      <c r="F70" t="s">
        <v>107</v>
      </c>
      <c r="G70" s="79">
        <f t="shared" si="4"/>
        <v>1.9500000000000002</v>
      </c>
      <c r="H70" s="79">
        <f t="shared" si="5"/>
        <v>1.3</v>
      </c>
      <c r="I70" s="79">
        <v>1.3</v>
      </c>
      <c r="J70" s="79"/>
      <c r="L70" s="140"/>
    </row>
    <row r="71" spans="2:12">
      <c r="B71" s="204" t="s">
        <v>634</v>
      </c>
      <c r="C71" s="205"/>
      <c r="D71" t="s">
        <v>556</v>
      </c>
      <c r="E71" t="s">
        <v>49</v>
      </c>
      <c r="F71" t="s">
        <v>56</v>
      </c>
      <c r="G71" s="75">
        <f t="shared" si="4"/>
        <v>2.625</v>
      </c>
      <c r="H71" s="79">
        <f t="shared" si="5"/>
        <v>1.75</v>
      </c>
      <c r="I71" s="79"/>
      <c r="J71" s="79"/>
      <c r="K71" s="79">
        <v>1.75</v>
      </c>
      <c r="L71" s="140"/>
    </row>
    <row r="72" spans="2:12">
      <c r="B72" s="204" t="s">
        <v>635</v>
      </c>
      <c r="C72" s="205"/>
      <c r="D72" t="s">
        <v>556</v>
      </c>
      <c r="E72" t="s">
        <v>49</v>
      </c>
      <c r="F72" t="s">
        <v>63</v>
      </c>
      <c r="G72" s="79">
        <f t="shared" ref="G72:G76" si="6">H72*(1+$F$2)</f>
        <v>1.8000000000000003</v>
      </c>
      <c r="H72" s="79">
        <f t="shared" ref="H72:H96" si="7">AVERAGE(I72:K72)</f>
        <v>1.2000000000000002</v>
      </c>
      <c r="I72" s="79">
        <v>1.1000000000000001</v>
      </c>
      <c r="J72" s="79">
        <v>1.3</v>
      </c>
      <c r="L72" s="140"/>
    </row>
    <row r="73" spans="2:12" ht="51">
      <c r="B73" s="204" t="s">
        <v>636</v>
      </c>
      <c r="C73" s="205" t="s">
        <v>637</v>
      </c>
      <c r="D73" t="s">
        <v>556</v>
      </c>
      <c r="E73" t="s">
        <v>49</v>
      </c>
      <c r="F73" t="s">
        <v>39</v>
      </c>
      <c r="G73" s="79">
        <f t="shared" si="6"/>
        <v>3</v>
      </c>
      <c r="H73" s="79">
        <f t="shared" si="7"/>
        <v>2</v>
      </c>
      <c r="I73" s="79">
        <v>2</v>
      </c>
      <c r="J73" s="79"/>
      <c r="L73" s="140"/>
    </row>
    <row r="74" spans="2:12" s="76" customFormat="1">
      <c r="B74" s="204" t="s">
        <v>587</v>
      </c>
      <c r="C74" s="205"/>
      <c r="D74" t="s">
        <v>142</v>
      </c>
      <c r="E74" t="s">
        <v>638</v>
      </c>
      <c r="F74" t="s">
        <v>139</v>
      </c>
      <c r="G74" s="79">
        <f t="shared" si="6"/>
        <v>2.625</v>
      </c>
      <c r="H74" s="79">
        <f t="shared" si="7"/>
        <v>1.75</v>
      </c>
      <c r="I74" s="79"/>
      <c r="J74" s="79"/>
      <c r="K74" s="84">
        <v>1.75</v>
      </c>
      <c r="L74" s="140"/>
    </row>
    <row r="75" spans="2:12">
      <c r="B75" s="204" t="s">
        <v>639</v>
      </c>
      <c r="C75" s="205"/>
      <c r="D75" t="s">
        <v>142</v>
      </c>
      <c r="E75" t="s">
        <v>638</v>
      </c>
      <c r="F75" t="s">
        <v>115</v>
      </c>
      <c r="G75" s="79">
        <f t="shared" si="6"/>
        <v>1.875</v>
      </c>
      <c r="H75" s="79">
        <f t="shared" si="7"/>
        <v>1.25</v>
      </c>
      <c r="I75" s="79">
        <v>1.25</v>
      </c>
      <c r="J75" s="79"/>
      <c r="L75" s="140"/>
    </row>
    <row r="76" spans="2:12" s="58" customFormat="1" ht="19">
      <c r="B76" s="204" t="s">
        <v>640</v>
      </c>
      <c r="C76" s="205"/>
      <c r="D76" t="s">
        <v>142</v>
      </c>
      <c r="E76" t="s">
        <v>638</v>
      </c>
      <c r="F76" t="s">
        <v>140</v>
      </c>
      <c r="G76" s="79">
        <f t="shared" si="6"/>
        <v>2.0999999999999996</v>
      </c>
      <c r="H76" s="79">
        <f t="shared" si="7"/>
        <v>1.4</v>
      </c>
      <c r="I76" s="83"/>
      <c r="J76" s="83"/>
      <c r="K76" s="84">
        <v>1.4</v>
      </c>
      <c r="L76" s="140"/>
    </row>
    <row r="77" spans="2:12" s="58" customFormat="1" ht="52">
      <c r="B77" s="204" t="s">
        <v>641</v>
      </c>
      <c r="C77" s="205" t="s">
        <v>642</v>
      </c>
      <c r="D77"/>
      <c r="E77"/>
      <c r="F77" t="s">
        <v>643</v>
      </c>
      <c r="G77" s="75"/>
      <c r="H77" s="75" t="e">
        <f t="shared" si="7"/>
        <v>#DIV/0!</v>
      </c>
      <c r="I77" s="79"/>
      <c r="J77" s="79"/>
      <c r="K77" s="140"/>
      <c r="L77" s="140"/>
    </row>
    <row r="78" spans="2:12">
      <c r="B78" t="s">
        <v>644</v>
      </c>
      <c r="D78" t="s">
        <v>142</v>
      </c>
      <c r="E78" t="s">
        <v>638</v>
      </c>
      <c r="F78" t="s">
        <v>138</v>
      </c>
      <c r="G78" s="79">
        <f t="shared" ref="G78:G85" si="8">H78*(1+$F$2)</f>
        <v>2.0999999999999996</v>
      </c>
      <c r="H78" s="79">
        <f t="shared" si="7"/>
        <v>1.4</v>
      </c>
      <c r="I78" s="79">
        <v>1.5</v>
      </c>
      <c r="J78" s="79">
        <v>1.3</v>
      </c>
      <c r="L78" s="140"/>
    </row>
    <row r="79" spans="2:12">
      <c r="B79" t="s">
        <v>645</v>
      </c>
      <c r="D79" t="s">
        <v>142</v>
      </c>
      <c r="E79" t="s">
        <v>638</v>
      </c>
      <c r="F79" t="s">
        <v>136</v>
      </c>
      <c r="G79" s="79">
        <f t="shared" si="8"/>
        <v>2.0999999999999996</v>
      </c>
      <c r="H79" s="79">
        <f t="shared" si="7"/>
        <v>1.4</v>
      </c>
      <c r="I79" s="79">
        <f>14/10</f>
        <v>1.4</v>
      </c>
      <c r="J79" s="79"/>
      <c r="L79" s="140"/>
    </row>
    <row r="80" spans="2:12">
      <c r="B80" t="s">
        <v>646</v>
      </c>
      <c r="D80" t="s">
        <v>142</v>
      </c>
      <c r="E80" t="s">
        <v>638</v>
      </c>
      <c r="F80" t="s">
        <v>132</v>
      </c>
      <c r="G80" s="79">
        <f t="shared" si="8"/>
        <v>2.8125</v>
      </c>
      <c r="H80" s="79">
        <f t="shared" si="7"/>
        <v>1.875</v>
      </c>
      <c r="I80" s="79">
        <f>22.5/10</f>
        <v>2.25</v>
      </c>
      <c r="J80" s="79"/>
      <c r="K80" s="84">
        <v>1.5</v>
      </c>
      <c r="L80" s="140"/>
    </row>
    <row r="81" spans="2:12">
      <c r="B81" t="s">
        <v>568</v>
      </c>
      <c r="D81" t="s">
        <v>556</v>
      </c>
      <c r="E81" t="s">
        <v>638</v>
      </c>
      <c r="F81" t="s">
        <v>647</v>
      </c>
      <c r="G81" s="79">
        <f t="shared" si="8"/>
        <v>1.6500000000000001</v>
      </c>
      <c r="H81" s="79">
        <f t="shared" si="7"/>
        <v>1.1000000000000001</v>
      </c>
      <c r="I81" s="79"/>
      <c r="J81" s="79">
        <v>1.1000000000000001</v>
      </c>
      <c r="L81" s="140"/>
    </row>
    <row r="82" spans="2:12">
      <c r="B82" t="s">
        <v>629</v>
      </c>
      <c r="D82" t="s">
        <v>556</v>
      </c>
      <c r="E82" t="s">
        <v>638</v>
      </c>
      <c r="F82" t="s">
        <v>137</v>
      </c>
      <c r="G82" s="79">
        <f t="shared" si="8"/>
        <v>1.9500000000000002</v>
      </c>
      <c r="H82" s="79">
        <f t="shared" si="7"/>
        <v>1.3</v>
      </c>
      <c r="I82" s="79">
        <v>1.3</v>
      </c>
      <c r="J82" s="79"/>
      <c r="L82" s="140"/>
    </row>
    <row r="83" spans="2:12">
      <c r="B83" t="s">
        <v>569</v>
      </c>
      <c r="D83" t="s">
        <v>556</v>
      </c>
      <c r="E83" t="s">
        <v>638</v>
      </c>
      <c r="F83" t="s">
        <v>59</v>
      </c>
      <c r="G83" s="79">
        <f t="shared" si="8"/>
        <v>1.6500000000000001</v>
      </c>
      <c r="H83" s="79">
        <f t="shared" si="7"/>
        <v>1.1000000000000001</v>
      </c>
      <c r="I83" s="82"/>
      <c r="J83" s="79">
        <v>1.1000000000000001</v>
      </c>
      <c r="L83" s="140"/>
    </row>
    <row r="84" spans="2:12" ht="15.75" customHeight="1">
      <c r="B84" t="s">
        <v>648</v>
      </c>
      <c r="D84" t="s">
        <v>556</v>
      </c>
      <c r="E84" t="s">
        <v>638</v>
      </c>
      <c r="F84" t="s">
        <v>53</v>
      </c>
      <c r="G84" s="75">
        <f t="shared" si="8"/>
        <v>1.6500000000000001</v>
      </c>
      <c r="H84" s="79">
        <f t="shared" si="7"/>
        <v>1.1000000000000001</v>
      </c>
      <c r="I84" s="79">
        <v>1.1000000000000001</v>
      </c>
      <c r="J84" s="79"/>
      <c r="K84" s="79"/>
      <c r="L84" s="140"/>
    </row>
    <row r="85" spans="2:12">
      <c r="B85" t="s">
        <v>649</v>
      </c>
      <c r="D85" t="s">
        <v>556</v>
      </c>
      <c r="E85" t="s">
        <v>638</v>
      </c>
      <c r="F85" t="s">
        <v>64</v>
      </c>
      <c r="G85" s="79">
        <f t="shared" si="8"/>
        <v>2.25</v>
      </c>
      <c r="H85" s="79">
        <f t="shared" si="7"/>
        <v>1.5</v>
      </c>
      <c r="I85" s="79">
        <v>1.5</v>
      </c>
      <c r="J85" s="79"/>
      <c r="L85" s="140"/>
    </row>
    <row r="86" spans="2:12" ht="85">
      <c r="B86" t="s">
        <v>641</v>
      </c>
      <c r="C86" s="87" t="s">
        <v>650</v>
      </c>
      <c r="D86" t="s">
        <v>142</v>
      </c>
      <c r="F86" t="s">
        <v>651</v>
      </c>
      <c r="G86" s="75"/>
      <c r="H86" s="75" t="e">
        <f t="shared" si="7"/>
        <v>#DIV/0!</v>
      </c>
      <c r="I86" s="79"/>
      <c r="J86" s="79"/>
      <c r="K86" s="140"/>
      <c r="L86" s="140"/>
    </row>
    <row r="87" spans="2:12">
      <c r="B87" t="s">
        <v>652</v>
      </c>
      <c r="D87" t="s">
        <v>556</v>
      </c>
      <c r="F87" t="s">
        <v>52</v>
      </c>
      <c r="G87" s="75"/>
      <c r="H87" s="75" t="e">
        <f t="shared" si="7"/>
        <v>#DIV/0!</v>
      </c>
      <c r="I87" s="79"/>
      <c r="J87" s="79"/>
      <c r="K87" s="140"/>
      <c r="L87" s="140"/>
    </row>
    <row r="88" spans="2:12">
      <c r="B88" t="s">
        <v>568</v>
      </c>
      <c r="D88" t="s">
        <v>556</v>
      </c>
      <c r="F88" t="s">
        <v>653</v>
      </c>
      <c r="G88" s="75"/>
      <c r="H88" s="75" t="e">
        <f t="shared" si="7"/>
        <v>#DIV/0!</v>
      </c>
      <c r="I88" s="79"/>
      <c r="J88" s="79"/>
      <c r="K88" s="140"/>
      <c r="L88" s="140"/>
    </row>
    <row r="89" spans="2:12">
      <c r="B89" t="s">
        <v>636</v>
      </c>
      <c r="F89" t="s">
        <v>654</v>
      </c>
      <c r="G89" s="75"/>
      <c r="H89" s="75" t="e">
        <f t="shared" si="7"/>
        <v>#DIV/0!</v>
      </c>
      <c r="I89" s="79"/>
      <c r="J89" s="79"/>
      <c r="K89" s="140"/>
      <c r="L89" s="140"/>
    </row>
    <row r="90" spans="2:12">
      <c r="B90" t="s">
        <v>645</v>
      </c>
      <c r="F90" t="s">
        <v>87</v>
      </c>
      <c r="G90" s="75"/>
      <c r="H90" s="75" t="e">
        <f t="shared" si="7"/>
        <v>#DIV/0!</v>
      </c>
      <c r="I90" s="79"/>
      <c r="J90" s="79"/>
      <c r="K90" s="140"/>
      <c r="L90" s="140"/>
    </row>
    <row r="91" spans="2:12">
      <c r="B91" t="s">
        <v>636</v>
      </c>
      <c r="D91" t="s">
        <v>556</v>
      </c>
      <c r="F91" t="s">
        <v>655</v>
      </c>
      <c r="G91" s="75"/>
      <c r="H91" s="75" t="e">
        <f t="shared" si="7"/>
        <v>#DIV/0!</v>
      </c>
      <c r="I91" s="79"/>
      <c r="J91" s="79"/>
      <c r="K91" s="140"/>
      <c r="L91" s="140"/>
    </row>
    <row r="92" spans="2:12">
      <c r="B92" t="s">
        <v>656</v>
      </c>
      <c r="D92" t="s">
        <v>142</v>
      </c>
      <c r="F92" t="s">
        <v>102</v>
      </c>
      <c r="G92" s="75"/>
      <c r="H92" s="75" t="e">
        <f t="shared" si="7"/>
        <v>#DIV/0!</v>
      </c>
      <c r="I92" s="79"/>
      <c r="J92" s="79"/>
      <c r="K92" s="140"/>
      <c r="L92" s="140"/>
    </row>
    <row r="93" spans="2:12">
      <c r="F93" t="s">
        <v>657</v>
      </c>
      <c r="G93" s="141"/>
      <c r="H93" s="141" t="e">
        <f t="shared" si="7"/>
        <v>#DIV/0!</v>
      </c>
      <c r="I93" s="140"/>
      <c r="J93" s="140"/>
      <c r="K93" s="140"/>
      <c r="L93" s="140"/>
    </row>
    <row r="94" spans="2:12">
      <c r="F94" t="s">
        <v>658</v>
      </c>
      <c r="G94" s="141"/>
      <c r="H94" s="141" t="e">
        <f t="shared" si="7"/>
        <v>#DIV/0!</v>
      </c>
      <c r="I94" s="140"/>
      <c r="J94" s="140"/>
      <c r="K94" s="140"/>
      <c r="L94" s="140"/>
    </row>
    <row r="95" spans="2:12">
      <c r="B95" t="s">
        <v>569</v>
      </c>
      <c r="F95" t="s">
        <v>66</v>
      </c>
      <c r="G95" s="141"/>
      <c r="H95" s="141" t="e">
        <f t="shared" si="7"/>
        <v>#DIV/0!</v>
      </c>
      <c r="I95" s="140"/>
      <c r="J95" s="140"/>
      <c r="K95" s="140"/>
      <c r="L95" s="140"/>
    </row>
    <row r="96" spans="2:12">
      <c r="F96" t="s">
        <v>659</v>
      </c>
      <c r="G96" s="141"/>
      <c r="H96" s="141" t="e">
        <f t="shared" si="7"/>
        <v>#DIV/0!</v>
      </c>
      <c r="I96" s="140"/>
      <c r="J96" s="140"/>
      <c r="K96" s="140"/>
      <c r="L96" s="140"/>
    </row>
    <row r="97" spans="4:11">
      <c r="G97" s="75"/>
      <c r="H97" s="75"/>
      <c r="I97" s="79"/>
      <c r="J97" s="79"/>
      <c r="K97" s="140"/>
    </row>
    <row r="99" spans="4:11" ht="17">
      <c r="D99" s="77" t="s">
        <v>4</v>
      </c>
      <c r="E99" s="77" t="s">
        <v>5</v>
      </c>
      <c r="F99" s="77" t="s">
        <v>6</v>
      </c>
      <c r="G99" s="78" t="s">
        <v>7</v>
      </c>
      <c r="H99" s="78" t="s">
        <v>8</v>
      </c>
      <c r="I99" s="81" t="s">
        <v>9</v>
      </c>
      <c r="J99" s="81" t="s">
        <v>10</v>
      </c>
      <c r="K99" s="81" t="s">
        <v>11</v>
      </c>
    </row>
    <row r="100" spans="4:11">
      <c r="D100" t="s">
        <v>142</v>
      </c>
      <c r="E100" t="s">
        <v>22</v>
      </c>
      <c r="F100" t="s">
        <v>48</v>
      </c>
      <c r="G100" s="75">
        <f t="shared" ref="G100:G110" si="9">H100*(1+$F$2)</f>
        <v>2.9849999999999999</v>
      </c>
      <c r="H100" s="79">
        <f>AVERAGE(I100:K100)</f>
        <v>1.99</v>
      </c>
      <c r="I100" s="79"/>
      <c r="J100" s="79">
        <v>1.99</v>
      </c>
      <c r="K100" s="79"/>
    </row>
    <row r="101" spans="4:11">
      <c r="D101" t="s">
        <v>142</v>
      </c>
      <c r="E101" t="s">
        <v>22</v>
      </c>
      <c r="F101" t="s">
        <v>54</v>
      </c>
      <c r="G101" s="75">
        <f t="shared" si="9"/>
        <v>2.4749999999999996</v>
      </c>
      <c r="H101" s="79">
        <f t="shared" ref="H101:H110" si="10">AVERAGE(I101:K101)</f>
        <v>1.65</v>
      </c>
      <c r="I101" s="79"/>
      <c r="J101" s="79"/>
      <c r="K101" s="79">
        <v>1.65</v>
      </c>
    </row>
    <row r="102" spans="4:11">
      <c r="D102" t="s">
        <v>142</v>
      </c>
      <c r="E102" t="s">
        <v>22</v>
      </c>
      <c r="F102" t="s">
        <v>47</v>
      </c>
      <c r="G102" s="75">
        <v>4.5</v>
      </c>
      <c r="H102" s="79">
        <f t="shared" si="10"/>
        <v>2.6</v>
      </c>
      <c r="I102" s="79"/>
      <c r="J102" s="79">
        <v>2.6</v>
      </c>
      <c r="K102" s="79"/>
    </row>
    <row r="103" spans="4:11">
      <c r="D103" t="s">
        <v>556</v>
      </c>
      <c r="E103" t="s">
        <v>22</v>
      </c>
      <c r="F103" t="s">
        <v>24</v>
      </c>
      <c r="G103" s="75">
        <f t="shared" si="9"/>
        <v>6.1499999999999995</v>
      </c>
      <c r="H103" s="79">
        <f t="shared" si="10"/>
        <v>4.0999999999999996</v>
      </c>
      <c r="I103" s="79"/>
      <c r="J103" s="79"/>
      <c r="K103" s="79">
        <v>4.0999999999999996</v>
      </c>
    </row>
    <row r="104" spans="4:11">
      <c r="D104" t="s">
        <v>556</v>
      </c>
      <c r="E104" t="s">
        <v>22</v>
      </c>
      <c r="F104" t="s">
        <v>23</v>
      </c>
      <c r="G104" s="75">
        <f t="shared" si="9"/>
        <v>6.4499999999999993</v>
      </c>
      <c r="H104" s="79">
        <f t="shared" si="10"/>
        <v>4.3</v>
      </c>
      <c r="I104" s="79"/>
      <c r="J104" s="79"/>
      <c r="K104" s="79">
        <v>4.3</v>
      </c>
    </row>
    <row r="105" spans="4:11">
      <c r="D105" t="s">
        <v>556</v>
      </c>
      <c r="E105" t="s">
        <v>22</v>
      </c>
      <c r="F105" t="s">
        <v>25</v>
      </c>
      <c r="G105" s="75">
        <f t="shared" si="9"/>
        <v>5.9625000000000004</v>
      </c>
      <c r="H105" s="79">
        <f t="shared" si="10"/>
        <v>3.9750000000000001</v>
      </c>
      <c r="I105" s="79">
        <v>4</v>
      </c>
      <c r="J105" s="79">
        <v>3.95</v>
      </c>
      <c r="K105" s="79"/>
    </row>
    <row r="106" spans="4:11">
      <c r="D106" t="s">
        <v>556</v>
      </c>
      <c r="E106" t="s">
        <v>22</v>
      </c>
      <c r="F106" t="s">
        <v>70</v>
      </c>
      <c r="G106" s="75">
        <f t="shared" si="9"/>
        <v>5.9625000000000004</v>
      </c>
      <c r="H106" s="79">
        <f t="shared" si="10"/>
        <v>3.9750000000000001</v>
      </c>
      <c r="I106" s="79">
        <v>4</v>
      </c>
      <c r="J106" s="79">
        <v>3.95</v>
      </c>
      <c r="K106" s="79"/>
    </row>
    <row r="107" spans="4:11">
      <c r="D107" t="s">
        <v>556</v>
      </c>
      <c r="E107" t="s">
        <v>22</v>
      </c>
      <c r="F107" t="s">
        <v>71</v>
      </c>
      <c r="G107" s="75">
        <f t="shared" si="9"/>
        <v>6.7124999999999995</v>
      </c>
      <c r="H107" s="79">
        <f t="shared" si="10"/>
        <v>4.4749999999999996</v>
      </c>
      <c r="I107" s="79">
        <v>4</v>
      </c>
      <c r="J107" s="79">
        <v>4.95</v>
      </c>
      <c r="K107" s="79"/>
    </row>
    <row r="108" spans="4:11">
      <c r="D108" t="s">
        <v>556</v>
      </c>
      <c r="E108" t="s">
        <v>22</v>
      </c>
      <c r="F108" t="s">
        <v>73</v>
      </c>
      <c r="G108" s="75">
        <f t="shared" si="9"/>
        <v>4.9499999999999993</v>
      </c>
      <c r="H108" s="79">
        <f t="shared" si="10"/>
        <v>3.3</v>
      </c>
      <c r="I108" s="79">
        <v>3</v>
      </c>
      <c r="J108" s="79">
        <v>3.6</v>
      </c>
      <c r="K108" s="79"/>
    </row>
    <row r="109" spans="4:11">
      <c r="D109" t="s">
        <v>556</v>
      </c>
      <c r="E109" t="s">
        <v>22</v>
      </c>
      <c r="F109" t="s">
        <v>72</v>
      </c>
      <c r="G109" s="75">
        <f t="shared" si="9"/>
        <v>5.9625000000000004</v>
      </c>
      <c r="H109" s="79">
        <f t="shared" si="10"/>
        <v>3.9750000000000001</v>
      </c>
      <c r="I109" s="79">
        <v>4</v>
      </c>
      <c r="J109" s="79">
        <v>3.95</v>
      </c>
      <c r="K109" s="79"/>
    </row>
    <row r="110" spans="4:11">
      <c r="D110" t="s">
        <v>556</v>
      </c>
      <c r="E110" t="s">
        <v>22</v>
      </c>
      <c r="F110" t="s">
        <v>74</v>
      </c>
      <c r="G110" s="75">
        <f t="shared" si="9"/>
        <v>4.9875000000000007</v>
      </c>
      <c r="H110" s="79">
        <f t="shared" si="10"/>
        <v>3.3250000000000002</v>
      </c>
      <c r="I110" s="79">
        <v>3</v>
      </c>
      <c r="J110" s="79">
        <v>3.65</v>
      </c>
      <c r="K110" s="79"/>
    </row>
    <row r="112" spans="4:11">
      <c r="D112" s="91" t="s">
        <v>142</v>
      </c>
      <c r="E112" s="91" t="s">
        <v>554</v>
      </c>
      <c r="F112" s="91" t="s">
        <v>555</v>
      </c>
      <c r="G112" s="92">
        <f>AVERAGE(G100:G102)</f>
        <v>3.32</v>
      </c>
      <c r="H112" s="93">
        <f>AVERAGE(H100:H102)</f>
        <v>2.08</v>
      </c>
    </row>
    <row r="113" spans="4:11">
      <c r="D113" s="91" t="s">
        <v>556</v>
      </c>
      <c r="E113" s="91" t="s">
        <v>554</v>
      </c>
      <c r="F113" s="91" t="s">
        <v>555</v>
      </c>
      <c r="G113" s="92">
        <f>AVERAGE(G103:G110)</f>
        <v>5.8921875000000004</v>
      </c>
      <c r="H113" s="93">
        <f>AVERAGE(H103:H110)</f>
        <v>3.9281249999999996</v>
      </c>
    </row>
    <row r="116" spans="4:11" ht="17">
      <c r="D116" s="77" t="s">
        <v>4</v>
      </c>
      <c r="E116" s="77" t="s">
        <v>5</v>
      </c>
      <c r="F116" s="77" t="s">
        <v>6</v>
      </c>
      <c r="G116" s="78" t="s">
        <v>7</v>
      </c>
      <c r="H116" s="78" t="s">
        <v>8</v>
      </c>
      <c r="I116" s="81" t="s">
        <v>9</v>
      </c>
      <c r="J116" s="81" t="s">
        <v>10</v>
      </c>
      <c r="K116" s="81" t="s">
        <v>11</v>
      </c>
    </row>
    <row r="117" spans="4:11">
      <c r="D117" t="s">
        <v>142</v>
      </c>
      <c r="E117" t="s">
        <v>598</v>
      </c>
      <c r="F117" t="s">
        <v>89</v>
      </c>
      <c r="G117" s="75">
        <f>H117*(1+$F$2)</f>
        <v>1.5</v>
      </c>
      <c r="H117" s="79">
        <f t="shared" ref="H117:H146" si="11">AVERAGE(I117:K117)</f>
        <v>1</v>
      </c>
      <c r="I117" s="79"/>
      <c r="J117" s="79">
        <v>1</v>
      </c>
      <c r="K117" s="79"/>
    </row>
    <row r="118" spans="4:11">
      <c r="D118" t="s">
        <v>142</v>
      </c>
      <c r="E118" t="s">
        <v>598</v>
      </c>
      <c r="F118" t="s">
        <v>37</v>
      </c>
      <c r="G118" s="75">
        <f>H118*(1+$F$2)</f>
        <v>2.6850000000000001</v>
      </c>
      <c r="H118" s="79">
        <f t="shared" si="11"/>
        <v>1.79</v>
      </c>
      <c r="I118" s="79"/>
      <c r="J118" s="79">
        <v>1.79</v>
      </c>
      <c r="K118" s="79"/>
    </row>
    <row r="119" spans="4:11">
      <c r="D119" t="s">
        <v>142</v>
      </c>
      <c r="E119" t="s">
        <v>598</v>
      </c>
      <c r="F119" t="s">
        <v>84</v>
      </c>
      <c r="G119" s="75">
        <f>H119*(1+$F$2)</f>
        <v>3.1500000000000004</v>
      </c>
      <c r="H119" s="79">
        <f t="shared" si="11"/>
        <v>2.1</v>
      </c>
      <c r="I119" s="79"/>
      <c r="J119" s="79"/>
      <c r="K119" s="79">
        <v>2.1</v>
      </c>
    </row>
    <row r="120" spans="4:11">
      <c r="D120" t="s">
        <v>142</v>
      </c>
      <c r="E120" t="s">
        <v>598</v>
      </c>
      <c r="F120" t="s">
        <v>83</v>
      </c>
      <c r="G120" s="75">
        <v>3.9</v>
      </c>
      <c r="H120" s="79">
        <f t="shared" si="11"/>
        <v>3</v>
      </c>
      <c r="I120" s="79">
        <v>3</v>
      </c>
      <c r="J120" s="79"/>
      <c r="K120" s="79"/>
    </row>
    <row r="121" spans="4:11">
      <c r="D121" t="s">
        <v>142</v>
      </c>
      <c r="E121" t="s">
        <v>598</v>
      </c>
      <c r="F121" t="s">
        <v>88</v>
      </c>
      <c r="G121" s="75">
        <f t="shared" ref="G121:G146" si="12">H121*(1+$F$2)</f>
        <v>2.0999999999999996</v>
      </c>
      <c r="H121" s="79">
        <f t="shared" si="11"/>
        <v>1.4</v>
      </c>
      <c r="I121" s="79">
        <v>1.4</v>
      </c>
      <c r="J121" s="79"/>
      <c r="K121" s="79"/>
    </row>
    <row r="122" spans="4:11">
      <c r="D122" t="s">
        <v>142</v>
      </c>
      <c r="E122" t="s">
        <v>598</v>
      </c>
      <c r="F122" t="s">
        <v>80</v>
      </c>
      <c r="G122" s="75">
        <f t="shared" si="12"/>
        <v>1.875</v>
      </c>
      <c r="H122" s="79">
        <f t="shared" si="11"/>
        <v>1.25</v>
      </c>
      <c r="I122" s="79">
        <v>1.3</v>
      </c>
      <c r="J122" s="79">
        <v>1.2</v>
      </c>
      <c r="K122" s="79"/>
    </row>
    <row r="123" spans="4:11">
      <c r="D123" t="s">
        <v>142</v>
      </c>
      <c r="E123" t="s">
        <v>598</v>
      </c>
      <c r="F123" t="s">
        <v>85</v>
      </c>
      <c r="G123" s="75">
        <f t="shared" si="12"/>
        <v>1.5</v>
      </c>
      <c r="H123" s="79">
        <f t="shared" si="11"/>
        <v>1</v>
      </c>
      <c r="I123" s="79"/>
      <c r="J123" s="79"/>
      <c r="K123" s="79">
        <v>1</v>
      </c>
    </row>
    <row r="124" spans="4:11">
      <c r="D124" t="s">
        <v>142</v>
      </c>
      <c r="E124" t="s">
        <v>598</v>
      </c>
      <c r="F124" t="s">
        <v>77</v>
      </c>
      <c r="G124" s="75">
        <f t="shared" si="12"/>
        <v>1.7999999999999998</v>
      </c>
      <c r="H124" s="79">
        <f t="shared" si="11"/>
        <v>1.2</v>
      </c>
      <c r="I124" s="79">
        <v>1.4</v>
      </c>
      <c r="J124" s="79"/>
      <c r="K124" s="79">
        <v>1</v>
      </c>
    </row>
    <row r="125" spans="4:11">
      <c r="D125" t="s">
        <v>142</v>
      </c>
      <c r="E125" t="s">
        <v>598</v>
      </c>
      <c r="F125" t="s">
        <v>78</v>
      </c>
      <c r="G125" s="75">
        <f t="shared" si="12"/>
        <v>2.0999999999999996</v>
      </c>
      <c r="H125" s="79">
        <f t="shared" si="11"/>
        <v>1.4</v>
      </c>
      <c r="I125" s="79"/>
      <c r="J125" s="79"/>
      <c r="K125" s="79">
        <v>1.4</v>
      </c>
    </row>
    <row r="126" spans="4:11">
      <c r="D126" t="s">
        <v>142</v>
      </c>
      <c r="E126" t="s">
        <v>598</v>
      </c>
      <c r="F126" t="s">
        <v>91</v>
      </c>
      <c r="G126" s="75">
        <f t="shared" si="12"/>
        <v>1.6500000000000001</v>
      </c>
      <c r="H126" s="79">
        <f t="shared" si="11"/>
        <v>1.1000000000000001</v>
      </c>
      <c r="I126" s="79">
        <v>1.2</v>
      </c>
      <c r="J126" s="79"/>
      <c r="K126" s="79">
        <v>1</v>
      </c>
    </row>
    <row r="127" spans="4:11">
      <c r="D127" t="s">
        <v>142</v>
      </c>
      <c r="E127" t="s">
        <v>598</v>
      </c>
      <c r="F127" t="s">
        <v>86</v>
      </c>
      <c r="G127" s="75">
        <f t="shared" si="12"/>
        <v>3.3562499999999997</v>
      </c>
      <c r="H127" s="79">
        <f t="shared" si="11"/>
        <v>2.2374999999999998</v>
      </c>
      <c r="I127" s="79">
        <f>17.25/10</f>
        <v>1.7250000000000001</v>
      </c>
      <c r="J127" s="79">
        <v>2.75</v>
      </c>
      <c r="K127" s="79"/>
    </row>
    <row r="128" spans="4:11">
      <c r="D128" t="s">
        <v>142</v>
      </c>
      <c r="E128" t="s">
        <v>598</v>
      </c>
      <c r="F128" t="s">
        <v>118</v>
      </c>
      <c r="G128" s="75">
        <f t="shared" si="12"/>
        <v>2.5875000000000004</v>
      </c>
      <c r="H128" s="79">
        <f t="shared" si="11"/>
        <v>1.7250000000000001</v>
      </c>
      <c r="I128" s="79">
        <v>1.55</v>
      </c>
      <c r="J128" s="79">
        <v>1.9</v>
      </c>
      <c r="K128" s="79"/>
    </row>
    <row r="129" spans="4:11">
      <c r="D129" t="s">
        <v>142</v>
      </c>
      <c r="E129" t="s">
        <v>598</v>
      </c>
      <c r="F129" t="s">
        <v>81</v>
      </c>
      <c r="G129" s="75">
        <f t="shared" si="12"/>
        <v>2.4000000000000004</v>
      </c>
      <c r="H129" s="79">
        <f t="shared" si="11"/>
        <v>1.6</v>
      </c>
      <c r="I129" s="79"/>
      <c r="J129" s="79">
        <v>1.6</v>
      </c>
      <c r="K129" s="79"/>
    </row>
    <row r="130" spans="4:11">
      <c r="D130" t="s">
        <v>142</v>
      </c>
      <c r="E130" t="s">
        <v>598</v>
      </c>
      <c r="F130" t="s">
        <v>122</v>
      </c>
      <c r="G130" s="75">
        <f t="shared" si="12"/>
        <v>3.5999999999999996</v>
      </c>
      <c r="H130" s="79">
        <f t="shared" si="11"/>
        <v>2.4</v>
      </c>
      <c r="I130" s="79"/>
      <c r="J130" s="79">
        <v>2.4</v>
      </c>
      <c r="K130" s="79"/>
    </row>
    <row r="131" spans="4:11">
      <c r="D131" t="s">
        <v>142</v>
      </c>
      <c r="E131" t="s">
        <v>598</v>
      </c>
      <c r="F131" t="s">
        <v>125</v>
      </c>
      <c r="G131" s="75">
        <f t="shared" si="12"/>
        <v>2.2574999999999998</v>
      </c>
      <c r="H131" s="79">
        <f t="shared" si="11"/>
        <v>1.5049999999999999</v>
      </c>
      <c r="I131" s="79">
        <v>1.3</v>
      </c>
      <c r="J131" s="79">
        <v>1.71</v>
      </c>
      <c r="K131" s="79"/>
    </row>
    <row r="132" spans="4:11">
      <c r="D132" t="s">
        <v>142</v>
      </c>
      <c r="E132" t="s">
        <v>598</v>
      </c>
      <c r="F132" t="s">
        <v>82</v>
      </c>
      <c r="G132" s="75">
        <f t="shared" si="12"/>
        <v>2.4000000000000004</v>
      </c>
      <c r="H132" s="79">
        <f t="shared" si="11"/>
        <v>1.6</v>
      </c>
      <c r="I132" s="79">
        <v>1.4</v>
      </c>
      <c r="J132" s="79">
        <v>1.8</v>
      </c>
      <c r="K132" s="79"/>
    </row>
    <row r="133" spans="4:11">
      <c r="D133" t="s">
        <v>556</v>
      </c>
      <c r="E133" t="s">
        <v>598</v>
      </c>
      <c r="F133" t="s">
        <v>32</v>
      </c>
      <c r="G133" s="75">
        <f t="shared" si="12"/>
        <v>3.0749999999999997</v>
      </c>
      <c r="H133" s="79">
        <f t="shared" si="11"/>
        <v>2.0499999999999998</v>
      </c>
      <c r="I133" s="79"/>
      <c r="J133" s="79">
        <v>2.0499999999999998</v>
      </c>
      <c r="K133" s="79"/>
    </row>
    <row r="134" spans="4:11">
      <c r="D134" t="s">
        <v>556</v>
      </c>
      <c r="E134" t="s">
        <v>598</v>
      </c>
      <c r="F134" t="s">
        <v>27</v>
      </c>
      <c r="G134" s="75">
        <f t="shared" si="12"/>
        <v>2.8499999999999996</v>
      </c>
      <c r="H134" s="79">
        <f t="shared" si="11"/>
        <v>1.9</v>
      </c>
      <c r="I134" s="79"/>
      <c r="J134" s="79">
        <v>1.9</v>
      </c>
      <c r="K134" s="79"/>
    </row>
    <row r="135" spans="4:11">
      <c r="D135" t="s">
        <v>556</v>
      </c>
      <c r="E135" t="s">
        <v>598</v>
      </c>
      <c r="F135" t="s">
        <v>31</v>
      </c>
      <c r="G135" s="75">
        <f t="shared" si="12"/>
        <v>2.25</v>
      </c>
      <c r="H135" s="79">
        <f t="shared" si="11"/>
        <v>1.5</v>
      </c>
      <c r="I135" s="79"/>
      <c r="J135" s="79"/>
      <c r="K135" s="79">
        <f>15/10</f>
        <v>1.5</v>
      </c>
    </row>
    <row r="136" spans="4:11">
      <c r="D136" t="s">
        <v>556</v>
      </c>
      <c r="E136" t="s">
        <v>598</v>
      </c>
      <c r="F136" t="s">
        <v>562</v>
      </c>
      <c r="G136" s="75">
        <f t="shared" si="12"/>
        <v>1.4249999999999998</v>
      </c>
      <c r="H136" s="79">
        <f t="shared" si="11"/>
        <v>0.95</v>
      </c>
      <c r="I136" s="79"/>
      <c r="J136" s="79"/>
      <c r="K136" s="79">
        <f>9.5/10</f>
        <v>0.95</v>
      </c>
    </row>
    <row r="137" spans="4:11">
      <c r="D137" t="s">
        <v>556</v>
      </c>
      <c r="E137" t="s">
        <v>598</v>
      </c>
      <c r="F137" t="s">
        <v>29</v>
      </c>
      <c r="G137" s="75">
        <f t="shared" si="12"/>
        <v>1.5</v>
      </c>
      <c r="H137" s="79">
        <f t="shared" si="11"/>
        <v>1</v>
      </c>
      <c r="I137" s="79">
        <v>1.1000000000000001</v>
      </c>
      <c r="J137" s="79">
        <v>0.9</v>
      </c>
      <c r="K137" s="79"/>
    </row>
    <row r="138" spans="4:11">
      <c r="D138" t="s">
        <v>556</v>
      </c>
      <c r="E138" t="s">
        <v>598</v>
      </c>
      <c r="F138" t="s">
        <v>40</v>
      </c>
      <c r="G138" s="75">
        <f t="shared" si="12"/>
        <v>2.1749999999999998</v>
      </c>
      <c r="H138" s="79">
        <f t="shared" si="11"/>
        <v>1.45</v>
      </c>
      <c r="I138" s="79">
        <v>1.4</v>
      </c>
      <c r="J138" s="79">
        <v>1.5</v>
      </c>
      <c r="K138" s="79"/>
    </row>
    <row r="139" spans="4:11">
      <c r="D139" t="s">
        <v>556</v>
      </c>
      <c r="E139" t="s">
        <v>598</v>
      </c>
      <c r="F139" t="s">
        <v>120</v>
      </c>
      <c r="G139" s="75">
        <f t="shared" si="12"/>
        <v>2.5499999999999998</v>
      </c>
      <c r="H139" s="79">
        <f t="shared" si="11"/>
        <v>1.7</v>
      </c>
      <c r="I139" s="79">
        <v>1.4</v>
      </c>
      <c r="J139" s="79">
        <v>2</v>
      </c>
      <c r="K139" s="79"/>
    </row>
    <row r="140" spans="4:11">
      <c r="D140" t="s">
        <v>556</v>
      </c>
      <c r="E140" t="s">
        <v>598</v>
      </c>
      <c r="F140" t="s">
        <v>58</v>
      </c>
      <c r="G140" s="75">
        <f t="shared" si="12"/>
        <v>1.6875</v>
      </c>
      <c r="H140" s="79">
        <f t="shared" si="11"/>
        <v>1.125</v>
      </c>
      <c r="I140" s="79">
        <v>0.75</v>
      </c>
      <c r="J140" s="79">
        <v>1.5</v>
      </c>
      <c r="K140" s="79"/>
    </row>
    <row r="141" spans="4:11">
      <c r="D141" t="s">
        <v>556</v>
      </c>
      <c r="E141" t="s">
        <v>598</v>
      </c>
      <c r="F141" t="s">
        <v>57</v>
      </c>
      <c r="G141" s="75">
        <f t="shared" si="12"/>
        <v>1.875</v>
      </c>
      <c r="H141" s="79">
        <f t="shared" si="11"/>
        <v>1.25</v>
      </c>
      <c r="I141" s="79">
        <v>1.1000000000000001</v>
      </c>
      <c r="J141" s="79">
        <v>1.4</v>
      </c>
      <c r="K141" s="79"/>
    </row>
    <row r="142" spans="4:11">
      <c r="D142" t="s">
        <v>556</v>
      </c>
      <c r="E142" t="s">
        <v>598</v>
      </c>
      <c r="F142" t="s">
        <v>62</v>
      </c>
      <c r="G142" s="75">
        <f t="shared" si="12"/>
        <v>2.2125000000000004</v>
      </c>
      <c r="H142" s="79">
        <f t="shared" si="11"/>
        <v>1.4750000000000001</v>
      </c>
      <c r="I142" s="79">
        <v>1.25</v>
      </c>
      <c r="J142" s="79">
        <v>1.7</v>
      </c>
      <c r="K142" s="79"/>
    </row>
    <row r="143" spans="4:11">
      <c r="D143" t="s">
        <v>556</v>
      </c>
      <c r="E143" t="s">
        <v>598</v>
      </c>
      <c r="F143" t="s">
        <v>67</v>
      </c>
      <c r="G143" s="75">
        <f t="shared" si="12"/>
        <v>1.9500000000000002</v>
      </c>
      <c r="H143" s="79">
        <f t="shared" si="11"/>
        <v>1.3</v>
      </c>
      <c r="I143" s="79"/>
      <c r="J143" s="79">
        <v>1.3</v>
      </c>
      <c r="K143" s="79"/>
    </row>
    <row r="144" spans="4:11">
      <c r="D144" t="s">
        <v>556</v>
      </c>
      <c r="E144" t="s">
        <v>598</v>
      </c>
      <c r="F144" t="s">
        <v>68</v>
      </c>
      <c r="G144" s="75">
        <f t="shared" si="12"/>
        <v>3</v>
      </c>
      <c r="H144" s="79">
        <f t="shared" si="11"/>
        <v>2</v>
      </c>
      <c r="I144" s="79"/>
      <c r="J144" s="79"/>
      <c r="K144" s="79">
        <v>2</v>
      </c>
    </row>
    <row r="145" spans="4:11">
      <c r="D145" t="s">
        <v>556</v>
      </c>
      <c r="E145" t="s">
        <v>598</v>
      </c>
      <c r="F145" t="s">
        <v>35</v>
      </c>
      <c r="G145" s="79">
        <f t="shared" si="12"/>
        <v>3</v>
      </c>
      <c r="H145" s="79">
        <f t="shared" si="11"/>
        <v>2</v>
      </c>
      <c r="I145" s="79"/>
      <c r="J145" s="79"/>
      <c r="K145" s="79">
        <v>2</v>
      </c>
    </row>
    <row r="146" spans="4:11">
      <c r="D146" t="s">
        <v>556</v>
      </c>
      <c r="E146" t="s">
        <v>598</v>
      </c>
      <c r="F146" t="s">
        <v>577</v>
      </c>
      <c r="G146" s="75">
        <f t="shared" si="12"/>
        <v>2.7</v>
      </c>
      <c r="H146" s="79">
        <f t="shared" si="11"/>
        <v>1.8</v>
      </c>
      <c r="I146" s="79">
        <v>1.8</v>
      </c>
      <c r="J146" s="79"/>
      <c r="K146" s="79"/>
    </row>
    <row r="148" spans="4:11">
      <c r="D148" s="91" t="s">
        <v>142</v>
      </c>
      <c r="E148" s="91" t="s">
        <v>660</v>
      </c>
      <c r="F148" s="91" t="s">
        <v>555</v>
      </c>
      <c r="G148" s="92">
        <f>AVERAGE(G117:G132)</f>
        <v>2.4288281249999999</v>
      </c>
      <c r="H148" s="93">
        <f>AVERAGE(H117:H132)</f>
        <v>1.6442187500000001</v>
      </c>
    </row>
    <row r="149" spans="4:11">
      <c r="D149" s="91" t="s">
        <v>556</v>
      </c>
      <c r="E149" s="91" t="s">
        <v>660</v>
      </c>
      <c r="F149" s="91" t="s">
        <v>555</v>
      </c>
      <c r="G149" s="92">
        <f>AVERAGE(G133:G146)</f>
        <v>2.3035714285714284</v>
      </c>
      <c r="H149" s="93">
        <f>AVERAGE(H133:H146)</f>
        <v>1.5357142857142858</v>
      </c>
    </row>
    <row r="152" spans="4:11" ht="17">
      <c r="D152" s="77" t="s">
        <v>4</v>
      </c>
      <c r="E152" s="77" t="s">
        <v>5</v>
      </c>
      <c r="F152" s="77" t="s">
        <v>6</v>
      </c>
      <c r="G152" s="78" t="s">
        <v>7</v>
      </c>
      <c r="H152" s="78" t="s">
        <v>8</v>
      </c>
      <c r="I152" s="81" t="s">
        <v>9</v>
      </c>
      <c r="J152" s="81" t="s">
        <v>10</v>
      </c>
      <c r="K152" s="81" t="s">
        <v>11</v>
      </c>
    </row>
    <row r="153" spans="4:11">
      <c r="D153" t="s">
        <v>142</v>
      </c>
      <c r="E153" t="s">
        <v>33</v>
      </c>
      <c r="F153" t="s">
        <v>100</v>
      </c>
      <c r="G153" s="79">
        <f>H153*(1+$F$2)</f>
        <v>3.9950000000000001</v>
      </c>
      <c r="H153" s="79">
        <f>AVERAGE(I153:K153)</f>
        <v>2.6633333333333336</v>
      </c>
      <c r="I153" s="79">
        <v>2.5</v>
      </c>
      <c r="J153" s="79">
        <v>2.99</v>
      </c>
      <c r="K153" s="84">
        <v>2.5</v>
      </c>
    </row>
    <row r="154" spans="4:11">
      <c r="D154" t="s">
        <v>142</v>
      </c>
      <c r="E154" t="s">
        <v>33</v>
      </c>
      <c r="F154" t="s">
        <v>97</v>
      </c>
      <c r="G154" s="79">
        <f>H154*(1+$F$2)</f>
        <v>1.7249999999999999</v>
      </c>
      <c r="H154" s="79">
        <f>AVERAGE(I154:K154)</f>
        <v>1.1499999999999999</v>
      </c>
      <c r="I154" s="79">
        <v>1.3</v>
      </c>
      <c r="J154" s="79">
        <v>1</v>
      </c>
    </row>
    <row r="155" spans="4:11">
      <c r="D155" t="s">
        <v>142</v>
      </c>
      <c r="E155" t="s">
        <v>33</v>
      </c>
      <c r="F155" t="s">
        <v>96</v>
      </c>
      <c r="G155" s="79">
        <f>H155*(1+$F$2)</f>
        <v>1.6500000000000001</v>
      </c>
      <c r="H155" s="79">
        <f>AVERAGE(I155:K155)</f>
        <v>1.1000000000000001</v>
      </c>
      <c r="I155" s="79"/>
      <c r="J155" s="79">
        <v>1.1000000000000001</v>
      </c>
    </row>
    <row r="156" spans="4:11">
      <c r="D156" t="s">
        <v>556</v>
      </c>
      <c r="E156" t="s">
        <v>33</v>
      </c>
      <c r="F156" t="s">
        <v>69</v>
      </c>
      <c r="G156" s="79">
        <f>H156*(1+$F$2)</f>
        <v>1.9500000000000002</v>
      </c>
      <c r="H156" s="79">
        <f>AVERAGE(I156:K156)</f>
        <v>1.3</v>
      </c>
      <c r="I156" s="79">
        <v>1.3</v>
      </c>
      <c r="J156" s="79"/>
    </row>
    <row r="157" spans="4:11">
      <c r="D157" t="s">
        <v>556</v>
      </c>
      <c r="E157" t="s">
        <v>33</v>
      </c>
      <c r="F157" t="s">
        <v>75</v>
      </c>
      <c r="G157" s="79">
        <f>H157*(1+$F$2)</f>
        <v>1.5750000000000002</v>
      </c>
      <c r="H157" s="79">
        <f>AVERAGE(I157:K157)</f>
        <v>1.05</v>
      </c>
      <c r="I157" s="79">
        <v>1.1000000000000001</v>
      </c>
      <c r="J157" s="79">
        <v>1</v>
      </c>
    </row>
    <row r="159" spans="4:11">
      <c r="D159" s="91" t="s">
        <v>142</v>
      </c>
      <c r="E159" s="91" t="s">
        <v>145</v>
      </c>
      <c r="F159" s="91" t="s">
        <v>555</v>
      </c>
      <c r="G159" s="93">
        <f>AVERAGE(Table512[Retail Price])</f>
        <v>2.1789999999999998</v>
      </c>
      <c r="H159" s="93">
        <f>AVERAGE(H153:H155)</f>
        <v>1.637777777777778</v>
      </c>
    </row>
    <row r="160" spans="4:11">
      <c r="D160" s="91" t="s">
        <v>556</v>
      </c>
      <c r="E160" s="91" t="s">
        <v>145</v>
      </c>
      <c r="F160" s="91" t="s">
        <v>555</v>
      </c>
      <c r="G160" s="93">
        <f>AVERAGE(G156:G157)</f>
        <v>1.7625000000000002</v>
      </c>
      <c r="H160" s="93">
        <f>AVERAGE(H156:H157)</f>
        <v>1.175</v>
      </c>
    </row>
    <row r="163" spans="4:11" ht="17">
      <c r="D163" s="77" t="s">
        <v>4</v>
      </c>
      <c r="E163" s="77" t="s">
        <v>5</v>
      </c>
      <c r="F163" s="77" t="s">
        <v>6</v>
      </c>
      <c r="G163" s="78" t="s">
        <v>7</v>
      </c>
      <c r="H163" s="78" t="s">
        <v>8</v>
      </c>
      <c r="I163" s="81" t="s">
        <v>9</v>
      </c>
      <c r="J163" s="81" t="s">
        <v>10</v>
      </c>
      <c r="K163" s="81" t="s">
        <v>11</v>
      </c>
    </row>
    <row r="164" spans="4:11">
      <c r="D164" t="s">
        <v>142</v>
      </c>
      <c r="E164" t="s">
        <v>187</v>
      </c>
      <c r="F164" t="s">
        <v>105</v>
      </c>
      <c r="G164" s="79">
        <f t="shared" ref="G164:G177" si="13">H164*(1+$F$2)</f>
        <v>1.9500000000000002</v>
      </c>
      <c r="H164" s="79">
        <f t="shared" ref="H164:H177" si="14">AVERAGE(I164:K164)</f>
        <v>1.3</v>
      </c>
      <c r="I164" s="79">
        <v>1.3</v>
      </c>
      <c r="J164" s="79"/>
    </row>
    <row r="165" spans="4:11">
      <c r="D165" t="s">
        <v>142</v>
      </c>
      <c r="E165" t="s">
        <v>187</v>
      </c>
      <c r="F165" t="s">
        <v>103</v>
      </c>
      <c r="G165" s="79">
        <f t="shared" si="13"/>
        <v>1.7999999999999998</v>
      </c>
      <c r="H165" s="79">
        <f t="shared" si="14"/>
        <v>1.2</v>
      </c>
      <c r="I165" s="79">
        <v>1.2</v>
      </c>
      <c r="J165" s="79"/>
    </row>
    <row r="166" spans="4:11">
      <c r="D166" t="s">
        <v>142</v>
      </c>
      <c r="E166" t="s">
        <v>187</v>
      </c>
      <c r="F166" t="s">
        <v>106</v>
      </c>
      <c r="G166" s="79">
        <f t="shared" si="13"/>
        <v>2.4000000000000004</v>
      </c>
      <c r="H166" s="79">
        <f t="shared" si="14"/>
        <v>1.6</v>
      </c>
      <c r="I166" s="79">
        <v>1.6</v>
      </c>
      <c r="J166" s="79"/>
    </row>
    <row r="167" spans="4:11">
      <c r="D167" t="s">
        <v>142</v>
      </c>
      <c r="E167" t="s">
        <v>187</v>
      </c>
      <c r="F167" t="s">
        <v>108</v>
      </c>
      <c r="G167" s="79">
        <f t="shared" si="13"/>
        <v>1.5750000000000002</v>
      </c>
      <c r="H167" s="79">
        <f t="shared" si="14"/>
        <v>1.05</v>
      </c>
      <c r="I167" s="79">
        <v>1.3</v>
      </c>
      <c r="J167" s="79">
        <v>0.8</v>
      </c>
    </row>
    <row r="168" spans="4:11">
      <c r="D168" t="s">
        <v>142</v>
      </c>
      <c r="E168" t="s">
        <v>187</v>
      </c>
      <c r="F168" t="s">
        <v>104</v>
      </c>
      <c r="G168" s="79">
        <f t="shared" si="13"/>
        <v>2.1749999999999998</v>
      </c>
      <c r="H168" s="79">
        <f t="shared" si="14"/>
        <v>1.45</v>
      </c>
      <c r="I168" s="79">
        <v>1.4</v>
      </c>
      <c r="J168" s="79">
        <v>1.5</v>
      </c>
    </row>
    <row r="169" spans="4:11">
      <c r="D169" t="s">
        <v>142</v>
      </c>
      <c r="E169" t="s">
        <v>187</v>
      </c>
      <c r="F169" t="s">
        <v>110</v>
      </c>
      <c r="G169" s="79">
        <f t="shared" si="13"/>
        <v>1.125</v>
      </c>
      <c r="H169" s="79">
        <f t="shared" si="14"/>
        <v>0.75</v>
      </c>
      <c r="I169" s="79"/>
      <c r="J169" s="79"/>
      <c r="K169" s="84">
        <v>0.75</v>
      </c>
    </row>
    <row r="170" spans="4:11">
      <c r="D170" t="s">
        <v>142</v>
      </c>
      <c r="E170" t="s">
        <v>187</v>
      </c>
      <c r="F170" t="s">
        <v>109</v>
      </c>
      <c r="G170" s="79">
        <f t="shared" si="13"/>
        <v>1.6500000000000001</v>
      </c>
      <c r="H170" s="79">
        <f t="shared" si="14"/>
        <v>1.1000000000000001</v>
      </c>
      <c r="I170" s="79">
        <v>1.1000000000000001</v>
      </c>
      <c r="J170" s="79">
        <v>1.1000000000000001</v>
      </c>
    </row>
    <row r="171" spans="4:11">
      <c r="D171" t="s">
        <v>556</v>
      </c>
      <c r="E171" t="s">
        <v>187</v>
      </c>
      <c r="F171" t="s">
        <v>61</v>
      </c>
      <c r="G171" s="79">
        <f t="shared" si="13"/>
        <v>1.5</v>
      </c>
      <c r="H171" s="79">
        <f t="shared" si="14"/>
        <v>1</v>
      </c>
      <c r="I171" s="79"/>
      <c r="J171" s="79">
        <v>1</v>
      </c>
    </row>
    <row r="172" spans="4:11">
      <c r="D172" t="s">
        <v>556</v>
      </c>
      <c r="E172" t="s">
        <v>187</v>
      </c>
      <c r="F172" t="s">
        <v>60</v>
      </c>
      <c r="G172" s="79">
        <f t="shared" si="13"/>
        <v>1.125</v>
      </c>
      <c r="H172" s="79">
        <f t="shared" si="14"/>
        <v>0.75</v>
      </c>
      <c r="I172" s="79">
        <v>0.75</v>
      </c>
      <c r="J172" s="79"/>
    </row>
    <row r="173" spans="4:11">
      <c r="D173" t="s">
        <v>556</v>
      </c>
      <c r="E173" t="s">
        <v>187</v>
      </c>
      <c r="F173" t="s">
        <v>65</v>
      </c>
      <c r="G173" s="79">
        <f t="shared" si="13"/>
        <v>1.6949999999999998</v>
      </c>
      <c r="H173" s="79">
        <f t="shared" si="14"/>
        <v>1.1299999999999999</v>
      </c>
      <c r="I173" s="79">
        <v>1.1299999999999999</v>
      </c>
      <c r="J173" s="79"/>
    </row>
    <row r="174" spans="4:11">
      <c r="D174" t="s">
        <v>556</v>
      </c>
      <c r="E174" t="s">
        <v>187</v>
      </c>
      <c r="F174" t="s">
        <v>44</v>
      </c>
      <c r="G174" s="79">
        <f t="shared" si="13"/>
        <v>1.875</v>
      </c>
      <c r="H174" s="79">
        <f t="shared" si="14"/>
        <v>1.25</v>
      </c>
      <c r="I174" s="79"/>
      <c r="J174" s="79"/>
      <c r="K174" s="84">
        <v>1.25</v>
      </c>
    </row>
    <row r="175" spans="4:11">
      <c r="D175" t="s">
        <v>556</v>
      </c>
      <c r="E175" t="s">
        <v>187</v>
      </c>
      <c r="F175" t="s">
        <v>45</v>
      </c>
      <c r="G175" s="79">
        <f t="shared" si="13"/>
        <v>2.7</v>
      </c>
      <c r="H175" s="79">
        <f t="shared" si="14"/>
        <v>1.8</v>
      </c>
      <c r="I175" s="79"/>
      <c r="J175" s="79">
        <v>1.8</v>
      </c>
    </row>
    <row r="176" spans="4:11">
      <c r="D176" t="s">
        <v>556</v>
      </c>
      <c r="E176" t="s">
        <v>187</v>
      </c>
      <c r="F176" t="s">
        <v>43</v>
      </c>
      <c r="G176" s="79">
        <f t="shared" si="13"/>
        <v>1.7249999999999999</v>
      </c>
      <c r="H176" s="79">
        <f t="shared" si="14"/>
        <v>1.1499999999999999</v>
      </c>
      <c r="I176" s="79">
        <v>1.1000000000000001</v>
      </c>
      <c r="J176" s="79">
        <v>1.2</v>
      </c>
    </row>
    <row r="177" spans="4:11">
      <c r="D177" t="s">
        <v>556</v>
      </c>
      <c r="E177" t="s">
        <v>187</v>
      </c>
      <c r="F177" t="s">
        <v>42</v>
      </c>
      <c r="G177" s="79">
        <f t="shared" si="13"/>
        <v>1.5</v>
      </c>
      <c r="H177" s="79">
        <f t="shared" si="14"/>
        <v>1</v>
      </c>
      <c r="I177" s="79"/>
      <c r="J177" s="79"/>
      <c r="K177" s="84">
        <v>1</v>
      </c>
    </row>
    <row r="179" spans="4:11">
      <c r="D179" s="91" t="s">
        <v>142</v>
      </c>
      <c r="E179" s="91" t="s">
        <v>662</v>
      </c>
      <c r="F179" s="91" t="s">
        <v>555</v>
      </c>
      <c r="G179" s="93">
        <f>AVERAGE(G164:G170)</f>
        <v>1.8107142857142857</v>
      </c>
      <c r="H179" s="93">
        <f>AVERAGE(H164:H170)</f>
        <v>1.2071428571428571</v>
      </c>
    </row>
    <row r="180" spans="4:11">
      <c r="D180" s="91" t="s">
        <v>556</v>
      </c>
      <c r="E180" s="91" t="s">
        <v>662</v>
      </c>
      <c r="F180" s="91" t="s">
        <v>555</v>
      </c>
      <c r="G180" s="93">
        <f>AVERAGE(G171:G177)</f>
        <v>1.7314285714285713</v>
      </c>
      <c r="H180" s="93">
        <f>AVERAGE(H171:H177)</f>
        <v>1.1542857142857144</v>
      </c>
    </row>
    <row r="183" spans="4:11" ht="17">
      <c r="D183" s="100" t="s">
        <v>4</v>
      </c>
      <c r="E183" s="101" t="s">
        <v>5</v>
      </c>
      <c r="F183" s="101" t="s">
        <v>6</v>
      </c>
      <c r="G183" s="102" t="s">
        <v>7</v>
      </c>
      <c r="H183" s="102" t="s">
        <v>8</v>
      </c>
      <c r="I183" s="103" t="s">
        <v>9</v>
      </c>
      <c r="J183" s="103" t="s">
        <v>10</v>
      </c>
      <c r="K183" s="104" t="s">
        <v>11</v>
      </c>
    </row>
    <row r="184" spans="4:11">
      <c r="D184" s="94" t="s">
        <v>142</v>
      </c>
      <c r="E184" t="s">
        <v>49</v>
      </c>
      <c r="F184" t="s">
        <v>367</v>
      </c>
      <c r="G184" s="79">
        <f t="shared" ref="G184:G191" si="15">H184*(1+$F$2)</f>
        <v>1.5</v>
      </c>
      <c r="H184" s="79">
        <f t="shared" ref="H184:H191" si="16">AVERAGE(I184:K184)</f>
        <v>1</v>
      </c>
      <c r="I184" s="79"/>
      <c r="J184" s="79"/>
      <c r="K184" s="95">
        <v>1</v>
      </c>
    </row>
    <row r="185" spans="4:11">
      <c r="D185" s="94" t="s">
        <v>142</v>
      </c>
      <c r="E185" t="s">
        <v>49</v>
      </c>
      <c r="F185" t="s">
        <v>95</v>
      </c>
      <c r="G185" s="79">
        <f t="shared" si="15"/>
        <v>1.5</v>
      </c>
      <c r="H185" s="79">
        <f t="shared" si="16"/>
        <v>1</v>
      </c>
      <c r="I185" s="79"/>
      <c r="J185" s="79"/>
      <c r="K185" s="95">
        <v>1</v>
      </c>
    </row>
    <row r="186" spans="4:11">
      <c r="D186" s="94" t="s">
        <v>142</v>
      </c>
      <c r="E186" t="s">
        <v>49</v>
      </c>
      <c r="F186" t="s">
        <v>127</v>
      </c>
      <c r="G186" s="79">
        <f t="shared" si="15"/>
        <v>1.7999999999999998</v>
      </c>
      <c r="H186" s="79">
        <f t="shared" si="16"/>
        <v>1.2</v>
      </c>
      <c r="I186" s="79">
        <v>1.2</v>
      </c>
      <c r="J186" s="79"/>
      <c r="K186" s="95"/>
    </row>
    <row r="187" spans="4:11">
      <c r="D187" s="94" t="s">
        <v>142</v>
      </c>
      <c r="E187" t="s">
        <v>49</v>
      </c>
      <c r="F187" t="s">
        <v>117</v>
      </c>
      <c r="G187" s="79">
        <f t="shared" si="15"/>
        <v>1.6124999999999998</v>
      </c>
      <c r="H187" s="79">
        <f t="shared" si="16"/>
        <v>1.075</v>
      </c>
      <c r="I187" s="79">
        <v>1.25</v>
      </c>
      <c r="J187" s="79">
        <v>0.9</v>
      </c>
      <c r="K187" s="95"/>
    </row>
    <row r="188" spans="4:11">
      <c r="D188" s="94" t="s">
        <v>142</v>
      </c>
      <c r="E188" t="s">
        <v>49</v>
      </c>
      <c r="F188" t="s">
        <v>107</v>
      </c>
      <c r="G188" s="79">
        <f t="shared" si="15"/>
        <v>1.9500000000000002</v>
      </c>
      <c r="H188" s="79">
        <f t="shared" si="16"/>
        <v>1.3</v>
      </c>
      <c r="I188" s="79">
        <v>1.3</v>
      </c>
      <c r="J188" s="79"/>
      <c r="K188" s="95"/>
    </row>
    <row r="189" spans="4:11">
      <c r="D189" s="94" t="s">
        <v>556</v>
      </c>
      <c r="E189" t="s">
        <v>49</v>
      </c>
      <c r="F189" t="s">
        <v>56</v>
      </c>
      <c r="G189" s="75">
        <f t="shared" si="15"/>
        <v>2.625</v>
      </c>
      <c r="H189" s="79">
        <f t="shared" si="16"/>
        <v>1.75</v>
      </c>
      <c r="I189" s="79"/>
      <c r="J189" s="79"/>
      <c r="K189" s="105">
        <v>1.75</v>
      </c>
    </row>
    <row r="190" spans="4:11">
      <c r="D190" s="94" t="s">
        <v>556</v>
      </c>
      <c r="E190" t="s">
        <v>49</v>
      </c>
      <c r="F190" t="s">
        <v>63</v>
      </c>
      <c r="G190" s="79">
        <f t="shared" si="15"/>
        <v>1.8000000000000003</v>
      </c>
      <c r="H190" s="79">
        <f t="shared" si="16"/>
        <v>1.2000000000000002</v>
      </c>
      <c r="I190" s="79">
        <v>1.1000000000000001</v>
      </c>
      <c r="J190" s="79">
        <v>1.3</v>
      </c>
      <c r="K190" s="95"/>
    </row>
    <row r="191" spans="4:11">
      <c r="D191" s="96" t="s">
        <v>556</v>
      </c>
      <c r="E191" s="97" t="s">
        <v>49</v>
      </c>
      <c r="F191" s="97" t="s">
        <v>39</v>
      </c>
      <c r="G191" s="98">
        <f t="shared" si="15"/>
        <v>3</v>
      </c>
      <c r="H191" s="98">
        <f t="shared" si="16"/>
        <v>2</v>
      </c>
      <c r="I191" s="98">
        <v>2</v>
      </c>
      <c r="J191" s="98"/>
      <c r="K191" s="99"/>
    </row>
    <row r="192" spans="4:11">
      <c r="G192" s="79"/>
      <c r="H192" s="79"/>
      <c r="I192" s="79"/>
      <c r="J192" s="79"/>
    </row>
    <row r="193" spans="4:11">
      <c r="D193" s="91" t="s">
        <v>142</v>
      </c>
      <c r="E193" s="91" t="s">
        <v>662</v>
      </c>
      <c r="F193" s="91" t="s">
        <v>555</v>
      </c>
      <c r="G193" s="93">
        <f>AVERAGE(G184:G188)</f>
        <v>1.6725000000000001</v>
      </c>
      <c r="H193" s="93">
        <f>AVERAGE(H184:H188)</f>
        <v>1.115</v>
      </c>
    </row>
    <row r="194" spans="4:11">
      <c r="D194" s="91" t="s">
        <v>556</v>
      </c>
      <c r="E194" s="91" t="s">
        <v>662</v>
      </c>
      <c r="F194" s="91" t="s">
        <v>555</v>
      </c>
      <c r="G194" s="93">
        <f>AVERAGE(G189:G190)</f>
        <v>2.2125000000000004</v>
      </c>
      <c r="H194" s="93">
        <f>AVERAGE(H189:H190)</f>
        <v>1.4750000000000001</v>
      </c>
    </row>
    <row r="197" spans="4:11" ht="17">
      <c r="D197" s="77" t="s">
        <v>4</v>
      </c>
      <c r="E197" s="77" t="s">
        <v>5</v>
      </c>
      <c r="F197" s="77" t="s">
        <v>6</v>
      </c>
      <c r="G197" s="78" t="s">
        <v>7</v>
      </c>
      <c r="H197" s="78" t="s">
        <v>8</v>
      </c>
      <c r="I197" s="81" t="s">
        <v>9</v>
      </c>
      <c r="J197" s="81" t="s">
        <v>10</v>
      </c>
      <c r="K197" s="81" t="s">
        <v>11</v>
      </c>
    </row>
    <row r="198" spans="4:11">
      <c r="D198" t="s">
        <v>142</v>
      </c>
      <c r="E198" t="s">
        <v>638</v>
      </c>
      <c r="F198" t="s">
        <v>139</v>
      </c>
      <c r="G198" s="79">
        <f t="shared" ref="G198:G209" si="17">H198*(1+$F$2)</f>
        <v>2.625</v>
      </c>
      <c r="H198" s="79">
        <f t="shared" ref="H198:H209" si="18">AVERAGE(I198:K198)</f>
        <v>1.75</v>
      </c>
      <c r="I198" s="79"/>
      <c r="J198" s="79"/>
      <c r="K198" s="84">
        <v>1.75</v>
      </c>
    </row>
    <row r="199" spans="4:11">
      <c r="D199" t="s">
        <v>142</v>
      </c>
      <c r="E199" t="s">
        <v>638</v>
      </c>
      <c r="F199" t="s">
        <v>115</v>
      </c>
      <c r="G199" s="79">
        <f t="shared" si="17"/>
        <v>1.875</v>
      </c>
      <c r="H199" s="79">
        <f t="shared" si="18"/>
        <v>1.25</v>
      </c>
      <c r="I199" s="79">
        <v>1.25</v>
      </c>
      <c r="J199" s="79"/>
    </row>
    <row r="200" spans="4:11" ht="19">
      <c r="D200" t="s">
        <v>142</v>
      </c>
      <c r="E200" t="s">
        <v>638</v>
      </c>
      <c r="F200" t="s">
        <v>140</v>
      </c>
      <c r="G200" s="79">
        <f t="shared" si="17"/>
        <v>2.0999999999999996</v>
      </c>
      <c r="H200" s="79">
        <f t="shared" si="18"/>
        <v>1.4</v>
      </c>
      <c r="I200" s="83"/>
      <c r="J200" s="83"/>
      <c r="K200" s="84">
        <v>1.4</v>
      </c>
    </row>
    <row r="201" spans="4:11">
      <c r="D201" t="s">
        <v>142</v>
      </c>
      <c r="E201" t="s">
        <v>638</v>
      </c>
      <c r="F201" t="s">
        <v>138</v>
      </c>
      <c r="G201" s="79">
        <f t="shared" si="17"/>
        <v>2.0999999999999996</v>
      </c>
      <c r="H201" s="79">
        <f t="shared" si="18"/>
        <v>1.4</v>
      </c>
      <c r="I201" s="79">
        <v>1.5</v>
      </c>
      <c r="J201" s="79">
        <v>1.3</v>
      </c>
    </row>
    <row r="202" spans="4:11">
      <c r="D202" t="s">
        <v>142</v>
      </c>
      <c r="E202" t="s">
        <v>638</v>
      </c>
      <c r="F202" t="s">
        <v>136</v>
      </c>
      <c r="G202" s="79">
        <f t="shared" si="17"/>
        <v>2.0999999999999996</v>
      </c>
      <c r="H202" s="79">
        <f t="shared" si="18"/>
        <v>1.4</v>
      </c>
      <c r="I202" s="79">
        <f>14/10</f>
        <v>1.4</v>
      </c>
      <c r="J202" s="79"/>
    </row>
    <row r="203" spans="4:11">
      <c r="D203" t="s">
        <v>142</v>
      </c>
      <c r="E203" t="s">
        <v>638</v>
      </c>
      <c r="F203" t="s">
        <v>132</v>
      </c>
      <c r="G203" s="79">
        <f t="shared" si="17"/>
        <v>2.8125</v>
      </c>
      <c r="H203" s="79">
        <f t="shared" si="18"/>
        <v>1.875</v>
      </c>
      <c r="I203" s="79">
        <f>22.5/10</f>
        <v>2.25</v>
      </c>
      <c r="J203" s="79"/>
      <c r="K203" s="84">
        <v>1.5</v>
      </c>
    </row>
    <row r="204" spans="4:11">
      <c r="D204" t="s">
        <v>556</v>
      </c>
      <c r="E204" t="s">
        <v>638</v>
      </c>
      <c r="F204" t="s">
        <v>667</v>
      </c>
      <c r="G204" s="79">
        <f t="shared" si="17"/>
        <v>2.25</v>
      </c>
      <c r="H204" s="79">
        <f t="shared" si="18"/>
        <v>1.5</v>
      </c>
      <c r="I204" s="79">
        <v>1.5</v>
      </c>
      <c r="J204" s="79"/>
    </row>
    <row r="205" spans="4:11">
      <c r="D205" t="s">
        <v>556</v>
      </c>
      <c r="E205" t="s">
        <v>638</v>
      </c>
      <c r="F205" t="s">
        <v>647</v>
      </c>
      <c r="G205" s="79">
        <f t="shared" si="17"/>
        <v>1.6500000000000001</v>
      </c>
      <c r="H205" s="79">
        <f t="shared" si="18"/>
        <v>1.1000000000000001</v>
      </c>
      <c r="I205" s="79"/>
      <c r="J205" s="79">
        <v>1.1000000000000001</v>
      </c>
    </row>
    <row r="206" spans="4:11">
      <c r="D206" t="s">
        <v>556</v>
      </c>
      <c r="E206" t="s">
        <v>638</v>
      </c>
      <c r="F206" t="s">
        <v>137</v>
      </c>
      <c r="G206" s="79">
        <f t="shared" si="17"/>
        <v>1.9500000000000002</v>
      </c>
      <c r="H206" s="79">
        <f t="shared" si="18"/>
        <v>1.3</v>
      </c>
      <c r="I206" s="79">
        <v>1.3</v>
      </c>
      <c r="J206" s="79"/>
    </row>
    <row r="207" spans="4:11">
      <c r="D207" t="s">
        <v>556</v>
      </c>
      <c r="E207" t="s">
        <v>638</v>
      </c>
      <c r="F207" t="s">
        <v>59</v>
      </c>
      <c r="G207" s="79">
        <f t="shared" si="17"/>
        <v>1.6500000000000001</v>
      </c>
      <c r="H207" s="79">
        <f t="shared" si="18"/>
        <v>1.1000000000000001</v>
      </c>
      <c r="I207" s="82"/>
      <c r="J207" s="79">
        <v>1.1000000000000001</v>
      </c>
    </row>
    <row r="208" spans="4:11">
      <c r="D208" t="s">
        <v>556</v>
      </c>
      <c r="E208" t="s">
        <v>638</v>
      </c>
      <c r="F208" t="s">
        <v>53</v>
      </c>
      <c r="G208" s="75">
        <f t="shared" si="17"/>
        <v>1.6500000000000001</v>
      </c>
      <c r="H208" s="79">
        <f t="shared" si="18"/>
        <v>1.1000000000000001</v>
      </c>
      <c r="I208" s="79">
        <v>1.1000000000000001</v>
      </c>
      <c r="J208" s="79"/>
      <c r="K208" s="79"/>
    </row>
    <row r="209" spans="4:10">
      <c r="D209" t="s">
        <v>556</v>
      </c>
      <c r="E209" t="s">
        <v>638</v>
      </c>
      <c r="F209" t="s">
        <v>64</v>
      </c>
      <c r="G209" s="79">
        <f t="shared" si="17"/>
        <v>2.25</v>
      </c>
      <c r="H209" s="79">
        <f t="shared" si="18"/>
        <v>1.5</v>
      </c>
      <c r="I209" s="79">
        <v>1.5</v>
      </c>
      <c r="J209" s="79"/>
    </row>
    <row r="210" spans="4:10">
      <c r="G210" s="79"/>
      <c r="H210" s="79"/>
      <c r="I210" s="79"/>
      <c r="J210" s="79"/>
    </row>
    <row r="211" spans="4:10">
      <c r="D211" s="91" t="s">
        <v>142</v>
      </c>
      <c r="E211" s="91" t="s">
        <v>662</v>
      </c>
      <c r="F211" s="91" t="s">
        <v>555</v>
      </c>
      <c r="G211" s="93">
        <f>AVERAGE(G198:G203)</f>
        <v>2.2687499999999998</v>
      </c>
      <c r="H211" s="93">
        <f>AVERAGE(H198:H203)</f>
        <v>1.5125000000000002</v>
      </c>
    </row>
    <row r="212" spans="4:10">
      <c r="D212" s="91" t="s">
        <v>556</v>
      </c>
      <c r="E212" s="91" t="s">
        <v>662</v>
      </c>
      <c r="F212" s="91" t="s">
        <v>555</v>
      </c>
      <c r="G212" s="93">
        <f>AVERAGE(G204:G209)</f>
        <v>1.9000000000000001</v>
      </c>
      <c r="H212" s="93">
        <f>AVERAGE(H204:H209)</f>
        <v>1.2666666666666666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0D1A-B396-419D-84F0-4647F6144F59}">
  <sheetPr codeName="Sheet10"/>
  <dimension ref="A2:M65"/>
  <sheetViews>
    <sheetView workbookViewId="0">
      <selection activeCell="D50" sqref="D50"/>
    </sheetView>
  </sheetViews>
  <sheetFormatPr baseColWidth="10" defaultColWidth="8.83203125" defaultRowHeight="16"/>
  <cols>
    <col min="2" max="2" width="22.1640625" customWidth="1"/>
    <col min="3" max="3" width="13.33203125" customWidth="1"/>
    <col min="4" max="4" width="15" customWidth="1"/>
  </cols>
  <sheetData>
    <row r="2" spans="1:13">
      <c r="B2" s="76" t="s">
        <v>668</v>
      </c>
      <c r="C2" s="76" t="s">
        <v>669</v>
      </c>
      <c r="D2" s="76" t="s">
        <v>670</v>
      </c>
      <c r="E2" s="73"/>
      <c r="F2" s="80"/>
    </row>
    <row r="3" spans="1:13">
      <c r="B3" t="s">
        <v>671</v>
      </c>
      <c r="C3" s="85">
        <v>3.12</v>
      </c>
      <c r="D3" s="84">
        <v>3.07</v>
      </c>
      <c r="E3" s="73"/>
      <c r="F3" s="80"/>
    </row>
    <row r="4" spans="1:13">
      <c r="B4" t="s">
        <v>672</v>
      </c>
      <c r="C4" s="86">
        <v>2.4700000000000002</v>
      </c>
      <c r="D4" s="84">
        <v>1.63</v>
      </c>
    </row>
    <row r="5" spans="1:13">
      <c r="B5" t="s">
        <v>673</v>
      </c>
      <c r="C5" s="86">
        <v>3.08</v>
      </c>
      <c r="D5" s="84">
        <v>1.73</v>
      </c>
    </row>
    <row r="6" spans="1:13">
      <c r="B6" t="s">
        <v>674</v>
      </c>
      <c r="C6" s="86">
        <v>1.81</v>
      </c>
      <c r="D6" s="84">
        <v>1.21</v>
      </c>
    </row>
    <row r="7" spans="1:13">
      <c r="B7" t="s">
        <v>675</v>
      </c>
      <c r="C7" s="86">
        <v>1.67</v>
      </c>
      <c r="D7" s="84">
        <v>1.1200000000000001</v>
      </c>
    </row>
    <row r="8" spans="1:13">
      <c r="B8" t="s">
        <v>676</v>
      </c>
      <c r="C8" s="86">
        <v>2.27</v>
      </c>
      <c r="D8" s="84">
        <v>1.51</v>
      </c>
    </row>
    <row r="11" spans="1:13">
      <c r="A11" s="89"/>
      <c r="B11" t="s">
        <v>677</v>
      </c>
    </row>
    <row r="12" spans="1:13">
      <c r="A12" s="89"/>
    </row>
    <row r="13" spans="1:13" ht="15.75" customHeight="1">
      <c r="A13" s="89"/>
      <c r="B13" s="76" t="s">
        <v>5</v>
      </c>
      <c r="C13" s="76" t="s">
        <v>678</v>
      </c>
      <c r="D13" s="76" t="s">
        <v>679</v>
      </c>
      <c r="E13" s="206" t="s">
        <v>680</v>
      </c>
      <c r="I13" s="87"/>
      <c r="J13" s="87"/>
      <c r="K13" s="87"/>
      <c r="L13" s="87"/>
      <c r="M13" s="87"/>
    </row>
    <row r="14" spans="1:13">
      <c r="A14" s="89"/>
      <c r="B14" t="s">
        <v>143</v>
      </c>
      <c r="C14">
        <v>4</v>
      </c>
      <c r="D14" s="84">
        <v>4</v>
      </c>
      <c r="E14" s="84">
        <f>C14*D14</f>
        <v>16</v>
      </c>
    </row>
    <row r="15" spans="1:13">
      <c r="A15" s="89"/>
      <c r="B15" t="s">
        <v>681</v>
      </c>
      <c r="C15">
        <v>6</v>
      </c>
      <c r="D15" s="84">
        <v>2.2999999999999998</v>
      </c>
      <c r="E15" s="84">
        <f>C15*D15</f>
        <v>13.799999999999999</v>
      </c>
    </row>
    <row r="16" spans="1:13">
      <c r="A16" s="89"/>
      <c r="B16" t="s">
        <v>682</v>
      </c>
      <c r="C16">
        <v>3</v>
      </c>
      <c r="D16" s="84">
        <v>3</v>
      </c>
      <c r="E16" s="84">
        <f t="shared" ref="E16:E18" si="0">C16*D16</f>
        <v>9</v>
      </c>
    </row>
    <row r="17" spans="1:10">
      <c r="A17" s="89"/>
      <c r="B17" t="s">
        <v>683</v>
      </c>
      <c r="C17">
        <v>4</v>
      </c>
      <c r="D17" s="84">
        <v>1.25</v>
      </c>
      <c r="E17" s="84">
        <f t="shared" si="0"/>
        <v>5</v>
      </c>
    </row>
    <row r="18" spans="1:10">
      <c r="A18" s="89"/>
      <c r="B18" t="s">
        <v>684</v>
      </c>
      <c r="C18">
        <v>3</v>
      </c>
      <c r="D18" s="84">
        <v>1.7</v>
      </c>
      <c r="E18" s="84">
        <f t="shared" si="0"/>
        <v>5.0999999999999996</v>
      </c>
    </row>
    <row r="19" spans="1:10">
      <c r="A19" s="89"/>
      <c r="B19" s="76" t="s">
        <v>685</v>
      </c>
      <c r="C19" s="76">
        <f>SUM(C14:C18)</f>
        <v>20</v>
      </c>
      <c r="D19" s="86"/>
      <c r="E19" s="86">
        <f>SUM(E14:E18)</f>
        <v>48.9</v>
      </c>
      <c r="J19" s="88"/>
    </row>
    <row r="21" spans="1:10">
      <c r="A21" s="89"/>
      <c r="B21" s="272" t="s">
        <v>686</v>
      </c>
      <c r="C21" s="272"/>
      <c r="D21" s="272"/>
      <c r="E21" s="272"/>
      <c r="F21" s="272"/>
      <c r="G21" s="272"/>
      <c r="H21" s="272"/>
      <c r="I21" s="272"/>
      <c r="J21" s="272"/>
    </row>
    <row r="22" spans="1:10" ht="50.25" customHeight="1">
      <c r="A22" s="89"/>
      <c r="B22" s="272"/>
      <c r="C22" s="272"/>
      <c r="D22" s="272"/>
      <c r="E22" s="272"/>
      <c r="F22" s="272"/>
      <c r="G22" s="272"/>
      <c r="H22" s="272"/>
      <c r="I22" s="272"/>
      <c r="J22" s="272"/>
    </row>
    <row r="23" spans="1:10">
      <c r="A23" s="89"/>
      <c r="B23" s="74"/>
      <c r="C23" s="74"/>
      <c r="D23" s="74"/>
      <c r="E23" s="74"/>
      <c r="F23" s="74"/>
      <c r="G23" s="74"/>
      <c r="H23" s="74"/>
      <c r="I23" s="74"/>
      <c r="J23" s="74"/>
    </row>
    <row r="24" spans="1:10">
      <c r="A24" s="106"/>
      <c r="B24" s="76" t="s">
        <v>5</v>
      </c>
      <c r="C24" s="76" t="s">
        <v>678</v>
      </c>
      <c r="D24" s="76" t="s">
        <v>679</v>
      </c>
      <c r="E24" s="106"/>
    </row>
    <row r="25" spans="1:10">
      <c r="A25" s="106"/>
      <c r="B25" t="s">
        <v>143</v>
      </c>
      <c r="C25">
        <v>4</v>
      </c>
      <c r="D25" s="85">
        <v>3.12</v>
      </c>
      <c r="E25" s="109">
        <f>C25*D25</f>
        <v>12.48</v>
      </c>
    </row>
    <row r="26" spans="1:10">
      <c r="A26" s="106"/>
      <c r="B26" t="s">
        <v>681</v>
      </c>
      <c r="C26">
        <v>5</v>
      </c>
      <c r="D26" s="86">
        <v>2.4700000000000002</v>
      </c>
      <c r="E26" s="109">
        <f>C26*D26</f>
        <v>12.350000000000001</v>
      </c>
    </row>
    <row r="27" spans="1:10">
      <c r="A27" s="106"/>
      <c r="B27" t="s">
        <v>682</v>
      </c>
      <c r="C27">
        <v>3</v>
      </c>
      <c r="D27" s="86">
        <v>3.08</v>
      </c>
      <c r="E27" s="109">
        <f t="shared" ref="E27:E30" si="1">C27*D27</f>
        <v>9.24</v>
      </c>
    </row>
    <row r="28" spans="1:10">
      <c r="A28" s="106"/>
      <c r="B28" t="s">
        <v>683</v>
      </c>
      <c r="C28">
        <v>3</v>
      </c>
      <c r="D28" s="86">
        <v>1.81</v>
      </c>
      <c r="E28" s="109">
        <f t="shared" si="1"/>
        <v>5.43</v>
      </c>
    </row>
    <row r="29" spans="1:10">
      <c r="A29" s="106"/>
      <c r="B29" t="s">
        <v>687</v>
      </c>
      <c r="C29">
        <v>1</v>
      </c>
      <c r="D29" s="86">
        <v>1.67</v>
      </c>
      <c r="E29" s="109">
        <f t="shared" si="1"/>
        <v>1.67</v>
      </c>
    </row>
    <row r="30" spans="1:10">
      <c r="A30" s="106"/>
      <c r="B30" t="s">
        <v>684</v>
      </c>
      <c r="C30">
        <v>3</v>
      </c>
      <c r="D30" s="86">
        <v>2.27</v>
      </c>
      <c r="E30" s="109">
        <f t="shared" si="1"/>
        <v>6.8100000000000005</v>
      </c>
    </row>
    <row r="31" spans="1:10">
      <c r="A31" s="106"/>
      <c r="B31" s="76" t="s">
        <v>685</v>
      </c>
      <c r="C31" s="76">
        <f>SUM(C25:C30)</f>
        <v>19</v>
      </c>
      <c r="D31" s="86">
        <f>SUM(D25:D30)</f>
        <v>14.42</v>
      </c>
      <c r="E31" s="110">
        <f>SUM(E25:E30)</f>
        <v>47.980000000000004</v>
      </c>
    </row>
    <row r="33" spans="1:10">
      <c r="A33" s="90"/>
      <c r="B33" t="s">
        <v>688</v>
      </c>
    </row>
    <row r="34" spans="1:10">
      <c r="A34" s="90"/>
    </row>
    <row r="35" spans="1:10">
      <c r="A35" s="90"/>
      <c r="B35" s="76" t="s">
        <v>5</v>
      </c>
      <c r="C35" s="76" t="s">
        <v>678</v>
      </c>
      <c r="D35" s="76" t="s">
        <v>679</v>
      </c>
      <c r="E35" s="206" t="s">
        <v>680</v>
      </c>
    </row>
    <row r="36" spans="1:10">
      <c r="A36" s="90"/>
      <c r="B36" t="s">
        <v>143</v>
      </c>
      <c r="C36">
        <v>4</v>
      </c>
      <c r="D36" s="84">
        <v>2.2000000000000002</v>
      </c>
      <c r="E36" s="84">
        <f>C36*D36</f>
        <v>8.8000000000000007</v>
      </c>
    </row>
    <row r="37" spans="1:10">
      <c r="A37" s="90"/>
      <c r="B37" t="s">
        <v>681</v>
      </c>
      <c r="C37">
        <v>5</v>
      </c>
      <c r="D37" s="84">
        <v>1.9</v>
      </c>
      <c r="E37" s="84">
        <f>C37*D37</f>
        <v>9.5</v>
      </c>
    </row>
    <row r="38" spans="1:10">
      <c r="A38" s="90"/>
      <c r="B38" t="s">
        <v>682</v>
      </c>
      <c r="C38">
        <v>3</v>
      </c>
      <c r="D38" s="84">
        <v>1</v>
      </c>
      <c r="E38" s="84">
        <f t="shared" ref="E38:E40" si="2">C38*D38</f>
        <v>3</v>
      </c>
    </row>
    <row r="39" spans="1:10">
      <c r="A39" s="90"/>
      <c r="B39" t="s">
        <v>683</v>
      </c>
      <c r="C39">
        <v>4</v>
      </c>
      <c r="D39" s="84">
        <v>1.5</v>
      </c>
      <c r="E39" s="84">
        <f t="shared" si="2"/>
        <v>6</v>
      </c>
    </row>
    <row r="40" spans="1:10">
      <c r="A40" s="90"/>
      <c r="B40" t="s">
        <v>684</v>
      </c>
      <c r="C40">
        <v>3</v>
      </c>
      <c r="D40" s="84">
        <v>1.7</v>
      </c>
      <c r="E40" s="84">
        <f t="shared" si="2"/>
        <v>5.0999999999999996</v>
      </c>
    </row>
    <row r="41" spans="1:10">
      <c r="A41" s="90"/>
      <c r="B41" s="76" t="s">
        <v>685</v>
      </c>
      <c r="C41" s="76">
        <f>SUM(C36:C40)</f>
        <v>19</v>
      </c>
      <c r="D41" s="86"/>
      <c r="E41" s="86">
        <f>SUM(E36:E40)</f>
        <v>32.4</v>
      </c>
    </row>
    <row r="44" spans="1:10">
      <c r="A44" s="90"/>
      <c r="B44" s="272" t="s">
        <v>689</v>
      </c>
      <c r="C44" s="272"/>
      <c r="D44" s="272"/>
      <c r="E44" s="272"/>
      <c r="F44" s="272"/>
      <c r="G44" s="272"/>
      <c r="H44" s="272"/>
      <c r="I44" s="272"/>
      <c r="J44" s="272"/>
    </row>
    <row r="45" spans="1:10" ht="37.5" customHeight="1">
      <c r="A45" s="90"/>
      <c r="B45" s="272"/>
      <c r="C45" s="272"/>
      <c r="D45" s="272"/>
      <c r="E45" s="272"/>
      <c r="F45" s="272"/>
      <c r="G45" s="272"/>
      <c r="H45" s="272"/>
      <c r="I45" s="272"/>
      <c r="J45" s="272"/>
    </row>
    <row r="46" spans="1:10">
      <c r="A46" s="90"/>
      <c r="B46" s="74"/>
      <c r="C46" s="74"/>
      <c r="D46" s="74"/>
      <c r="E46" s="74"/>
      <c r="F46" s="74"/>
      <c r="G46" s="74"/>
      <c r="H46" s="74"/>
      <c r="I46" s="74"/>
      <c r="J46" s="74"/>
    </row>
    <row r="47" spans="1:10">
      <c r="A47" s="106"/>
      <c r="B47" s="76" t="s">
        <v>5</v>
      </c>
      <c r="C47" s="76" t="s">
        <v>678</v>
      </c>
      <c r="D47" s="76" t="s">
        <v>679</v>
      </c>
      <c r="E47" s="106"/>
    </row>
    <row r="48" spans="1:10">
      <c r="A48" s="106"/>
      <c r="B48" t="s">
        <v>143</v>
      </c>
      <c r="C48">
        <v>3</v>
      </c>
      <c r="D48" s="85">
        <v>3.12</v>
      </c>
      <c r="E48" s="109">
        <f>C48*D48</f>
        <v>9.36</v>
      </c>
    </row>
    <row r="49" spans="1:10">
      <c r="A49" s="106"/>
      <c r="B49" t="s">
        <v>690</v>
      </c>
      <c r="C49">
        <v>3</v>
      </c>
      <c r="D49" s="86">
        <v>2.4700000000000002</v>
      </c>
      <c r="E49" s="109">
        <f>C49*D49</f>
        <v>7.41</v>
      </c>
    </row>
    <row r="50" spans="1:10">
      <c r="A50" s="106"/>
      <c r="B50" t="s">
        <v>682</v>
      </c>
      <c r="C50">
        <v>2</v>
      </c>
      <c r="D50" s="86">
        <v>1.81</v>
      </c>
      <c r="E50" s="109">
        <f t="shared" ref="E50:E53" si="3">C50*D50</f>
        <v>3.62</v>
      </c>
    </row>
    <row r="51" spans="1:10">
      <c r="A51" s="106"/>
      <c r="B51" t="s">
        <v>683</v>
      </c>
      <c r="C51">
        <v>2</v>
      </c>
      <c r="D51" s="86">
        <v>2.1800000000000002</v>
      </c>
      <c r="E51" s="109">
        <f t="shared" si="3"/>
        <v>4.3600000000000003</v>
      </c>
    </row>
    <row r="52" spans="1:10">
      <c r="A52" s="106"/>
      <c r="B52" t="s">
        <v>687</v>
      </c>
      <c r="C52">
        <v>1</v>
      </c>
      <c r="D52" s="86">
        <v>2.2000000000000002</v>
      </c>
      <c r="E52" s="109">
        <f t="shared" si="3"/>
        <v>2.2000000000000002</v>
      </c>
    </row>
    <row r="53" spans="1:10">
      <c r="A53" s="106"/>
      <c r="B53" t="s">
        <v>684</v>
      </c>
      <c r="C53">
        <v>3</v>
      </c>
      <c r="D53" s="86">
        <v>2.27</v>
      </c>
      <c r="E53" s="109">
        <f t="shared" si="3"/>
        <v>6.8100000000000005</v>
      </c>
    </row>
    <row r="54" spans="1:10">
      <c r="A54" s="106"/>
      <c r="B54" s="76" t="s">
        <v>685</v>
      </c>
      <c r="C54" s="76">
        <f>SUM(C48:C53)</f>
        <v>14</v>
      </c>
      <c r="D54" s="86">
        <f>SUM(D48:D53)</f>
        <v>14.05</v>
      </c>
      <c r="E54" s="110">
        <f>SUM(E48:E53)</f>
        <v>33.76</v>
      </c>
    </row>
    <row r="57" spans="1:10" ht="35.25" customHeight="1">
      <c r="A57" s="91"/>
      <c r="B57" s="273" t="s">
        <v>691</v>
      </c>
      <c r="C57" s="273"/>
      <c r="D57" s="273"/>
      <c r="E57" s="273"/>
      <c r="F57" s="273"/>
      <c r="G57" s="273"/>
      <c r="H57" s="273"/>
      <c r="I57" s="273"/>
      <c r="J57" s="273"/>
    </row>
    <row r="58" spans="1:10">
      <c r="A58" s="91"/>
    </row>
    <row r="59" spans="1:10">
      <c r="A59" s="91"/>
      <c r="B59" s="76" t="s">
        <v>5</v>
      </c>
      <c r="C59" s="76" t="s">
        <v>678</v>
      </c>
      <c r="D59" s="76" t="s">
        <v>679</v>
      </c>
    </row>
    <row r="60" spans="1:10">
      <c r="A60" s="91"/>
      <c r="B60" t="s">
        <v>88</v>
      </c>
      <c r="C60">
        <v>5</v>
      </c>
      <c r="D60" s="85">
        <v>2.1</v>
      </c>
      <c r="E60" s="84">
        <f>C60*D60</f>
        <v>10.5</v>
      </c>
    </row>
    <row r="61" spans="1:10">
      <c r="A61" s="91"/>
      <c r="B61" t="s">
        <v>95</v>
      </c>
      <c r="C61">
        <v>4</v>
      </c>
      <c r="D61" s="86">
        <v>1.5</v>
      </c>
      <c r="E61" s="84">
        <f>C61*D61</f>
        <v>6</v>
      </c>
    </row>
    <row r="62" spans="1:10">
      <c r="A62" s="91"/>
      <c r="B62" t="s">
        <v>96</v>
      </c>
      <c r="C62">
        <v>4</v>
      </c>
      <c r="D62" s="86">
        <v>1.65</v>
      </c>
      <c r="E62" s="84">
        <f t="shared" ref="E62:E64" si="4">C62*D62</f>
        <v>6.6</v>
      </c>
    </row>
    <row r="63" spans="1:10">
      <c r="A63" s="91"/>
      <c r="B63" t="s">
        <v>692</v>
      </c>
      <c r="C63">
        <v>2</v>
      </c>
      <c r="D63" s="86">
        <v>1.8</v>
      </c>
      <c r="E63" s="84">
        <f t="shared" si="4"/>
        <v>3.6</v>
      </c>
    </row>
    <row r="64" spans="1:10">
      <c r="A64" s="91"/>
      <c r="C64">
        <v>3</v>
      </c>
      <c r="D64" s="86">
        <v>2.13</v>
      </c>
      <c r="E64" s="84">
        <f t="shared" si="4"/>
        <v>6.39</v>
      </c>
    </row>
    <row r="65" spans="1:5">
      <c r="A65" s="91"/>
      <c r="B65" s="76" t="s">
        <v>685</v>
      </c>
      <c r="C65" s="76">
        <f>SUM(C60:C64)</f>
        <v>18</v>
      </c>
      <c r="D65" s="86"/>
      <c r="E65" s="86">
        <f>SUM(E60:E64)</f>
        <v>33.090000000000003</v>
      </c>
    </row>
  </sheetData>
  <mergeCells count="3">
    <mergeCell ref="B21:J22"/>
    <mergeCell ref="B44:J45"/>
    <mergeCell ref="B57:J5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BA72-19FA-49C0-8F27-B02860DD6F5C}">
  <sheetPr codeName="Sheet11"/>
  <dimension ref="A2:X66"/>
  <sheetViews>
    <sheetView workbookViewId="0">
      <pane xSplit="3" topLeftCell="D1" activePane="topRight" state="frozen"/>
      <selection pane="topRight" activeCell="A11" sqref="A11"/>
    </sheetView>
  </sheetViews>
  <sheetFormatPr baseColWidth="10" defaultColWidth="8.83203125" defaultRowHeight="16"/>
  <cols>
    <col min="1" max="1" width="6.6640625" style="112" customWidth="1"/>
    <col min="2" max="2" width="16.33203125" customWidth="1"/>
    <col min="3" max="3" width="9.5" style="111" customWidth="1"/>
    <col min="4" max="4" width="4.1640625" style="111" customWidth="1"/>
    <col min="5" max="5" width="13.6640625" customWidth="1"/>
    <col min="6" max="6" width="12.33203125" customWidth="1"/>
    <col min="8" max="9" width="13.1640625" customWidth="1"/>
    <col min="11" max="12" width="13.1640625" customWidth="1"/>
    <col min="14" max="14" width="13.1640625" customWidth="1"/>
    <col min="15" max="15" width="13.6640625" customWidth="1"/>
    <col min="17" max="17" width="14.83203125" customWidth="1"/>
    <col min="18" max="18" width="14.5" customWidth="1"/>
    <col min="20" max="20" width="15.1640625" customWidth="1"/>
    <col min="21" max="21" width="12.33203125" customWidth="1"/>
    <col min="23" max="23" width="15.1640625" customWidth="1"/>
    <col min="24" max="24" width="14.83203125" customWidth="1"/>
  </cols>
  <sheetData>
    <row r="2" spans="1:24" ht="19">
      <c r="B2" s="277" t="s">
        <v>693</v>
      </c>
      <c r="C2" s="278"/>
      <c r="E2" s="274" t="s">
        <v>694</v>
      </c>
      <c r="F2" s="275"/>
      <c r="H2" s="274" t="s">
        <v>695</v>
      </c>
      <c r="I2" s="275"/>
      <c r="K2" s="274" t="s">
        <v>696</v>
      </c>
      <c r="L2" s="275"/>
      <c r="N2" s="274" t="s">
        <v>697</v>
      </c>
      <c r="O2" s="275"/>
      <c r="Q2" s="274" t="s">
        <v>698</v>
      </c>
      <c r="R2" s="275"/>
      <c r="T2" s="274" t="s">
        <v>699</v>
      </c>
      <c r="U2" s="275"/>
      <c r="W2" s="274" t="s">
        <v>700</v>
      </c>
      <c r="X2" s="275"/>
    </row>
    <row r="3" spans="1:24">
      <c r="B3" s="279"/>
      <c r="C3" s="280"/>
      <c r="E3" s="126" t="s">
        <v>701</v>
      </c>
      <c r="F3" s="128" t="s">
        <v>702</v>
      </c>
      <c r="H3" s="126" t="s">
        <v>701</v>
      </c>
      <c r="I3" s="128" t="s">
        <v>702</v>
      </c>
      <c r="K3" s="126" t="s">
        <v>701</v>
      </c>
      <c r="L3" s="128" t="s">
        <v>702</v>
      </c>
      <c r="N3" s="126" t="s">
        <v>701</v>
      </c>
      <c r="O3" s="128" t="s">
        <v>702</v>
      </c>
      <c r="Q3" s="126" t="s">
        <v>701</v>
      </c>
      <c r="R3" s="128" t="s">
        <v>702</v>
      </c>
      <c r="T3" s="126" t="s">
        <v>701</v>
      </c>
      <c r="U3" s="128" t="s">
        <v>702</v>
      </c>
      <c r="W3" s="126" t="s">
        <v>701</v>
      </c>
      <c r="X3" s="128" t="s">
        <v>702</v>
      </c>
    </row>
    <row r="4" spans="1:24">
      <c r="B4" s="124"/>
      <c r="C4" s="125"/>
      <c r="E4" s="127">
        <v>0</v>
      </c>
      <c r="F4" s="129">
        <f>SUM(F7:F49)</f>
        <v>0</v>
      </c>
      <c r="H4" s="127">
        <v>0</v>
      </c>
      <c r="I4" s="129">
        <f>SUM(I7:I49)</f>
        <v>0</v>
      </c>
      <c r="K4" s="127">
        <v>0</v>
      </c>
      <c r="L4" s="129">
        <f>SUM(L7:L49)</f>
        <v>0</v>
      </c>
      <c r="N4" s="127">
        <v>10</v>
      </c>
      <c r="O4" s="129">
        <f>SUM(O7:O49)</f>
        <v>0</v>
      </c>
      <c r="Q4" s="127">
        <v>15</v>
      </c>
      <c r="R4" s="129">
        <f>SUM(R7:R49)</f>
        <v>0</v>
      </c>
      <c r="T4" s="127">
        <v>15</v>
      </c>
      <c r="U4" s="129">
        <f>SUM(U7:U49)</f>
        <v>0</v>
      </c>
      <c r="W4" s="127">
        <v>15</v>
      </c>
      <c r="X4" s="129">
        <f>SUM(X7:X49)</f>
        <v>0</v>
      </c>
    </row>
    <row r="5" spans="1:24">
      <c r="B5" s="124"/>
      <c r="C5" s="125"/>
      <c r="E5" s="94"/>
      <c r="F5" s="115"/>
      <c r="H5" s="132"/>
      <c r="I5" s="115"/>
      <c r="K5" s="94"/>
      <c r="L5" s="115"/>
      <c r="N5" s="94"/>
      <c r="O5" s="115"/>
      <c r="Q5" s="94"/>
      <c r="R5" s="115"/>
      <c r="T5" s="94"/>
      <c r="U5" s="115"/>
      <c r="W5" s="94"/>
      <c r="X5" s="115"/>
    </row>
    <row r="6" spans="1:24">
      <c r="B6" s="116" t="s">
        <v>703</v>
      </c>
      <c r="C6" s="136" t="s">
        <v>704</v>
      </c>
      <c r="D6" s="120"/>
      <c r="E6" s="133" t="s">
        <v>705</v>
      </c>
      <c r="F6" s="130" t="s">
        <v>706</v>
      </c>
      <c r="G6" s="119"/>
      <c r="H6" s="133" t="s">
        <v>705</v>
      </c>
      <c r="I6" s="130" t="s">
        <v>706</v>
      </c>
      <c r="J6" s="119"/>
      <c r="K6" s="133" t="s">
        <v>705</v>
      </c>
      <c r="L6" s="130" t="s">
        <v>706</v>
      </c>
      <c r="N6" s="133" t="s">
        <v>705</v>
      </c>
      <c r="O6" s="130" t="s">
        <v>706</v>
      </c>
      <c r="Q6" s="133" t="s">
        <v>705</v>
      </c>
      <c r="R6" s="130" t="s">
        <v>706</v>
      </c>
      <c r="T6" s="133" t="s">
        <v>705</v>
      </c>
      <c r="U6" s="130" t="s">
        <v>706</v>
      </c>
      <c r="W6" s="133" t="s">
        <v>705</v>
      </c>
      <c r="X6" s="130" t="s">
        <v>706</v>
      </c>
    </row>
    <row r="7" spans="1:24">
      <c r="B7" s="94" t="s">
        <v>47</v>
      </c>
      <c r="C7" s="122">
        <f>(E7*E4)+(H7*H4)+(K7*K4)</f>
        <v>0</v>
      </c>
      <c r="D7" s="121"/>
      <c r="E7" s="127">
        <v>0</v>
      </c>
      <c r="F7" s="95">
        <f>E7*C54</f>
        <v>0</v>
      </c>
      <c r="H7" s="127">
        <v>0</v>
      </c>
      <c r="I7" s="95">
        <f>H7*C54</f>
        <v>0</v>
      </c>
      <c r="K7" s="127">
        <v>0</v>
      </c>
      <c r="L7" s="95">
        <f>K7*C54</f>
        <v>0</v>
      </c>
      <c r="N7" s="127">
        <v>0</v>
      </c>
      <c r="O7" s="95">
        <f>N7*F54</f>
        <v>0</v>
      </c>
      <c r="Q7" s="127">
        <v>0</v>
      </c>
      <c r="R7" s="95">
        <f>Q7*I54</f>
        <v>0</v>
      </c>
      <c r="T7" s="127">
        <v>0</v>
      </c>
      <c r="U7" s="95">
        <f>T7*L54</f>
        <v>0</v>
      </c>
      <c r="W7" s="127">
        <v>0</v>
      </c>
      <c r="X7" s="95">
        <f>W7*O54</f>
        <v>0</v>
      </c>
    </row>
    <row r="8" spans="1:24">
      <c r="B8" s="94" t="s">
        <v>707</v>
      </c>
      <c r="C8" s="122">
        <f>(E8*E4)+(H8+H4)+(K8+K4)</f>
        <v>0</v>
      </c>
      <c r="D8" s="121"/>
      <c r="E8" s="127">
        <v>0</v>
      </c>
      <c r="F8" s="95">
        <f>E8*C54</f>
        <v>0</v>
      </c>
      <c r="H8" s="127">
        <v>0</v>
      </c>
      <c r="I8" s="95">
        <f>H8*C54</f>
        <v>0</v>
      </c>
      <c r="K8" s="127">
        <v>0</v>
      </c>
      <c r="L8" s="95">
        <f>K8*C54</f>
        <v>0</v>
      </c>
      <c r="N8" s="127">
        <v>0</v>
      </c>
      <c r="O8" s="95">
        <f>N8*F54</f>
        <v>0</v>
      </c>
      <c r="Q8" s="127">
        <v>0</v>
      </c>
      <c r="R8" s="95">
        <f>Q8*I54</f>
        <v>0</v>
      </c>
      <c r="T8" s="127">
        <v>0</v>
      </c>
      <c r="U8" s="95">
        <f>T8*L54</f>
        <v>0</v>
      </c>
      <c r="W8" s="127">
        <v>0</v>
      </c>
      <c r="X8" s="95">
        <f>W8*O54</f>
        <v>0</v>
      </c>
    </row>
    <row r="9" spans="1:24">
      <c r="B9" s="94" t="s">
        <v>708</v>
      </c>
      <c r="C9" s="122">
        <f>(E9*E4)+(H9*H4)+(K9*K4)</f>
        <v>0</v>
      </c>
      <c r="D9" s="121"/>
      <c r="E9" s="131">
        <v>0</v>
      </c>
      <c r="F9" s="99">
        <f>E9*C54</f>
        <v>0</v>
      </c>
      <c r="H9" s="131">
        <v>0</v>
      </c>
      <c r="I9" s="99">
        <f>H9*C54</f>
        <v>0</v>
      </c>
      <c r="K9" s="131">
        <v>0</v>
      </c>
      <c r="L9" s="99">
        <f>K9*C54</f>
        <v>0</v>
      </c>
      <c r="N9" s="131">
        <v>0</v>
      </c>
      <c r="O9" s="99">
        <f>N9*F54</f>
        <v>0</v>
      </c>
      <c r="Q9" s="131">
        <v>0</v>
      </c>
      <c r="R9" s="99">
        <f>Q9*I54</f>
        <v>0</v>
      </c>
      <c r="T9" s="131">
        <v>0</v>
      </c>
      <c r="U9" s="99">
        <f>T9*L54</f>
        <v>0</v>
      </c>
      <c r="W9" s="131">
        <v>0</v>
      </c>
      <c r="X9" s="99">
        <f>W9*O54</f>
        <v>0</v>
      </c>
    </row>
    <row r="10" spans="1:24">
      <c r="B10" s="94" t="s">
        <v>120</v>
      </c>
      <c r="C10" s="122">
        <f>(E10*E4)+(H10*H4)+(K10*K4)</f>
        <v>0</v>
      </c>
      <c r="D10" s="121"/>
      <c r="E10" s="127">
        <v>0</v>
      </c>
      <c r="F10" s="95">
        <f>E10*C56</f>
        <v>0</v>
      </c>
      <c r="H10" s="127">
        <v>0</v>
      </c>
      <c r="I10" s="95">
        <f>H10*C56</f>
        <v>0</v>
      </c>
      <c r="K10" s="127">
        <v>0</v>
      </c>
      <c r="L10" s="95">
        <f>K10*C56</f>
        <v>0</v>
      </c>
      <c r="N10" s="127">
        <v>0.5</v>
      </c>
      <c r="O10" s="95">
        <f>N10*F56</f>
        <v>0</v>
      </c>
      <c r="Q10" s="127">
        <v>0.5</v>
      </c>
      <c r="R10" s="95">
        <f>Q10*I56</f>
        <v>0</v>
      </c>
      <c r="T10" s="127">
        <v>0.5</v>
      </c>
      <c r="U10" s="95">
        <f>T10*L56</f>
        <v>0</v>
      </c>
      <c r="W10" s="127">
        <v>0.5</v>
      </c>
      <c r="X10" s="95">
        <f>W10*O56</f>
        <v>0</v>
      </c>
    </row>
    <row r="11" spans="1:24">
      <c r="B11" s="94"/>
      <c r="C11" s="122"/>
      <c r="D11" s="121"/>
      <c r="E11" s="94"/>
      <c r="F11" s="115"/>
      <c r="H11" s="94"/>
      <c r="I11" s="115"/>
      <c r="K11" s="94"/>
      <c r="L11" s="115"/>
      <c r="N11" s="94"/>
      <c r="O11" s="115"/>
      <c r="Q11" s="94"/>
      <c r="R11" s="115"/>
      <c r="T11" s="94"/>
      <c r="U11" s="115"/>
      <c r="W11" s="94"/>
      <c r="X11" s="115"/>
    </row>
    <row r="12" spans="1:24">
      <c r="A12" s="113"/>
      <c r="B12" s="116" t="s">
        <v>709</v>
      </c>
      <c r="C12" s="122"/>
      <c r="D12" s="121"/>
      <c r="E12" s="133" t="s">
        <v>705</v>
      </c>
      <c r="F12" s="130" t="s">
        <v>706</v>
      </c>
      <c r="G12" s="119"/>
      <c r="H12" s="133" t="s">
        <v>705</v>
      </c>
      <c r="I12" s="130" t="s">
        <v>706</v>
      </c>
      <c r="J12" s="119"/>
      <c r="K12" s="133" t="s">
        <v>705</v>
      </c>
      <c r="L12" s="130" t="s">
        <v>706</v>
      </c>
      <c r="N12" s="133" t="s">
        <v>705</v>
      </c>
      <c r="O12" s="130" t="s">
        <v>706</v>
      </c>
      <c r="Q12" s="133" t="s">
        <v>705</v>
      </c>
      <c r="R12" s="130" t="s">
        <v>706</v>
      </c>
      <c r="T12" s="133" t="s">
        <v>705</v>
      </c>
      <c r="U12" s="130" t="s">
        <v>706</v>
      </c>
      <c r="W12" s="133" t="s">
        <v>705</v>
      </c>
      <c r="X12" s="130" t="s">
        <v>706</v>
      </c>
    </row>
    <row r="13" spans="1:24">
      <c r="B13" s="94" t="s">
        <v>710</v>
      </c>
      <c r="C13" s="122">
        <f>(E13*E4)+(H13*H4)+(K13*K4)</f>
        <v>0</v>
      </c>
      <c r="D13" s="121"/>
      <c r="E13" s="127">
        <v>0</v>
      </c>
      <c r="F13" s="95">
        <f>E13*C55</f>
        <v>0</v>
      </c>
      <c r="H13" s="127">
        <v>0</v>
      </c>
      <c r="I13" s="95">
        <f>H13*C55</f>
        <v>0</v>
      </c>
      <c r="K13" s="127">
        <v>0</v>
      </c>
      <c r="L13" s="95">
        <f>K13*C55</f>
        <v>0</v>
      </c>
      <c r="N13" s="127">
        <v>7</v>
      </c>
      <c r="O13" s="95">
        <f>N13*F55</f>
        <v>0</v>
      </c>
      <c r="Q13" s="127">
        <v>1</v>
      </c>
      <c r="R13" s="95">
        <f>Q13*I55</f>
        <v>0</v>
      </c>
      <c r="T13" s="127">
        <v>1</v>
      </c>
      <c r="U13" s="95">
        <f>T13*L55</f>
        <v>0</v>
      </c>
      <c r="W13" s="127">
        <v>1</v>
      </c>
      <c r="X13" s="95">
        <f>W13*O55</f>
        <v>0</v>
      </c>
    </row>
    <row r="14" spans="1:24">
      <c r="B14" s="94" t="s">
        <v>97</v>
      </c>
      <c r="C14" s="122">
        <f>(E14*E4)+(H14*H4)+(K14*K4)</f>
        <v>0</v>
      </c>
      <c r="D14" s="121"/>
      <c r="E14" s="127">
        <v>0</v>
      </c>
      <c r="F14" s="95">
        <f>E14*C55</f>
        <v>0</v>
      </c>
      <c r="H14" s="127">
        <v>0</v>
      </c>
      <c r="I14" s="95">
        <f>H14*C55</f>
        <v>0</v>
      </c>
      <c r="K14" s="127">
        <v>0</v>
      </c>
      <c r="L14" s="95">
        <f>K14*C55</f>
        <v>0</v>
      </c>
      <c r="N14" s="127">
        <v>0</v>
      </c>
      <c r="O14" s="95">
        <f>N14*F55</f>
        <v>0</v>
      </c>
      <c r="Q14" s="127">
        <v>0</v>
      </c>
      <c r="R14" s="95">
        <f>Q14*I55</f>
        <v>0</v>
      </c>
      <c r="T14" s="127">
        <v>0</v>
      </c>
      <c r="U14" s="95">
        <f>T14*L55</f>
        <v>0</v>
      </c>
      <c r="W14" s="127">
        <v>0</v>
      </c>
      <c r="X14" s="95">
        <f>W14*O55</f>
        <v>0</v>
      </c>
    </row>
    <row r="15" spans="1:24">
      <c r="B15" s="94" t="s">
        <v>96</v>
      </c>
      <c r="C15" s="122">
        <f>(E15*E4)+(H15*H4)+(K15*K4)</f>
        <v>0</v>
      </c>
      <c r="D15" s="121"/>
      <c r="E15" s="127">
        <v>0</v>
      </c>
      <c r="F15" s="95">
        <f>E15*C55</f>
        <v>0</v>
      </c>
      <c r="H15" s="127">
        <v>0</v>
      </c>
      <c r="I15" s="95">
        <f>H15*C55</f>
        <v>0</v>
      </c>
      <c r="K15" s="127">
        <v>0</v>
      </c>
      <c r="L15" s="95">
        <f>K15*C55</f>
        <v>0</v>
      </c>
      <c r="N15" s="127">
        <v>0</v>
      </c>
      <c r="O15" s="95">
        <f>N15*F55</f>
        <v>0</v>
      </c>
      <c r="Q15" s="127">
        <v>0</v>
      </c>
      <c r="R15" s="95">
        <f>Q15*I55</f>
        <v>0</v>
      </c>
      <c r="T15" s="127">
        <v>0</v>
      </c>
      <c r="U15" s="95">
        <f>T15*L55</f>
        <v>0</v>
      </c>
      <c r="W15" s="127">
        <v>0</v>
      </c>
      <c r="X15" s="95">
        <f>W15*O55</f>
        <v>0</v>
      </c>
    </row>
    <row r="16" spans="1:24">
      <c r="B16" s="94" t="s">
        <v>95</v>
      </c>
      <c r="C16" s="122">
        <f>(E16*E4)+(H16*H4)+(K16*K4)</f>
        <v>0</v>
      </c>
      <c r="D16" s="121"/>
      <c r="E16" s="131">
        <v>0</v>
      </c>
      <c r="F16" s="99">
        <f>E16*C55</f>
        <v>0</v>
      </c>
      <c r="H16" s="131">
        <v>0</v>
      </c>
      <c r="I16" s="99">
        <f>H16*C55</f>
        <v>0</v>
      </c>
      <c r="K16" s="131">
        <v>0</v>
      </c>
      <c r="L16" s="99">
        <f>K16*C55</f>
        <v>0</v>
      </c>
      <c r="N16" s="131">
        <v>0</v>
      </c>
      <c r="O16" s="99">
        <f>N16*F55</f>
        <v>0</v>
      </c>
      <c r="Q16" s="131">
        <v>0</v>
      </c>
      <c r="R16" s="99">
        <f>Q16*I55</f>
        <v>0</v>
      </c>
      <c r="T16" s="131">
        <v>0</v>
      </c>
      <c r="U16" s="99">
        <f>T16*L55</f>
        <v>0</v>
      </c>
      <c r="W16" s="131">
        <v>0</v>
      </c>
      <c r="X16" s="99">
        <f>W16*O55</f>
        <v>0</v>
      </c>
    </row>
    <row r="17" spans="1:24">
      <c r="B17" s="94"/>
      <c r="C17" s="122"/>
      <c r="D17" s="121"/>
      <c r="E17" s="94"/>
      <c r="F17" s="115"/>
      <c r="H17" s="94"/>
      <c r="I17" s="115"/>
      <c r="K17" s="94"/>
      <c r="L17" s="115"/>
      <c r="N17" s="94"/>
      <c r="O17" s="115"/>
      <c r="Q17" s="94"/>
      <c r="R17" s="115"/>
      <c r="T17" s="94"/>
      <c r="U17" s="115"/>
      <c r="W17" s="94"/>
      <c r="X17" s="115"/>
    </row>
    <row r="18" spans="1:24">
      <c r="A18" s="113"/>
      <c r="B18" s="116" t="s">
        <v>711</v>
      </c>
      <c r="C18" s="122"/>
      <c r="D18" s="121"/>
      <c r="E18" s="133" t="s">
        <v>705</v>
      </c>
      <c r="F18" s="130" t="s">
        <v>706</v>
      </c>
      <c r="G18" s="119"/>
      <c r="H18" s="133" t="s">
        <v>705</v>
      </c>
      <c r="I18" s="130" t="s">
        <v>706</v>
      </c>
      <c r="J18" s="119"/>
      <c r="K18" s="133" t="s">
        <v>705</v>
      </c>
      <c r="L18" s="130" t="s">
        <v>706</v>
      </c>
      <c r="N18" s="133" t="s">
        <v>705</v>
      </c>
      <c r="O18" s="130" t="s">
        <v>706</v>
      </c>
      <c r="Q18" s="133" t="s">
        <v>705</v>
      </c>
      <c r="R18" s="130" t="s">
        <v>706</v>
      </c>
      <c r="T18" s="133" t="s">
        <v>705</v>
      </c>
      <c r="U18" s="130" t="s">
        <v>706</v>
      </c>
      <c r="W18" s="133" t="s">
        <v>705</v>
      </c>
      <c r="X18" s="130" t="s">
        <v>706</v>
      </c>
    </row>
    <row r="19" spans="1:24">
      <c r="B19" s="94" t="s">
        <v>712</v>
      </c>
      <c r="C19" s="122">
        <f>(E19*E4)+(H19*H4)+(K19*K4)</f>
        <v>0</v>
      </c>
      <c r="D19" s="121"/>
      <c r="E19" s="127">
        <v>0</v>
      </c>
      <c r="F19" s="95">
        <f>E19*C56</f>
        <v>0</v>
      </c>
      <c r="H19" s="127">
        <v>0</v>
      </c>
      <c r="I19" s="95">
        <f>H19*C56</f>
        <v>0</v>
      </c>
      <c r="K19" s="127">
        <v>0</v>
      </c>
      <c r="L19" s="95">
        <f>K19*C56</f>
        <v>0</v>
      </c>
      <c r="N19" s="127">
        <v>0</v>
      </c>
      <c r="O19" s="95">
        <f>N19*F56</f>
        <v>0</v>
      </c>
      <c r="Q19" s="127">
        <v>0</v>
      </c>
      <c r="R19" s="95">
        <f>Q19*I56</f>
        <v>0</v>
      </c>
      <c r="T19" s="127">
        <v>0</v>
      </c>
      <c r="U19" s="95">
        <f>T19*L56</f>
        <v>0</v>
      </c>
      <c r="W19" s="127">
        <v>0</v>
      </c>
      <c r="X19" s="95">
        <f>W19*O56</f>
        <v>0</v>
      </c>
    </row>
    <row r="20" spans="1:24">
      <c r="B20" s="94" t="s">
        <v>86</v>
      </c>
      <c r="C20" s="122">
        <f>(E20*E4)+(H20*H4)+(K20*K4)</f>
        <v>0</v>
      </c>
      <c r="D20" s="121"/>
      <c r="E20" s="127">
        <v>0</v>
      </c>
      <c r="F20" s="95">
        <f>E20*C56</f>
        <v>0</v>
      </c>
      <c r="H20" s="127">
        <v>0</v>
      </c>
      <c r="I20" s="95">
        <f>H20*C56</f>
        <v>0</v>
      </c>
      <c r="K20" s="127">
        <v>0</v>
      </c>
      <c r="L20" s="95">
        <f>K20*C56</f>
        <v>0</v>
      </c>
      <c r="N20" s="127">
        <v>1</v>
      </c>
      <c r="O20" s="95">
        <f>N20*F56</f>
        <v>0</v>
      </c>
      <c r="Q20" s="127">
        <v>1</v>
      </c>
      <c r="R20" s="95">
        <f>Q20*I56</f>
        <v>0</v>
      </c>
      <c r="T20" s="127">
        <v>1</v>
      </c>
      <c r="U20" s="95">
        <f>T20*L56</f>
        <v>0</v>
      </c>
      <c r="W20" s="127">
        <v>1</v>
      </c>
      <c r="X20" s="95">
        <f>W20*O56</f>
        <v>0</v>
      </c>
    </row>
    <row r="21" spans="1:24">
      <c r="B21" s="94" t="s">
        <v>89</v>
      </c>
      <c r="C21" s="122">
        <f>(E21*E4)+(H21*H4)+(K21*K4)</f>
        <v>0</v>
      </c>
      <c r="D21" s="121"/>
      <c r="E21" s="127">
        <v>0</v>
      </c>
      <c r="F21" s="95">
        <f>E21*C56</f>
        <v>0</v>
      </c>
      <c r="H21" s="127">
        <v>0</v>
      </c>
      <c r="I21" s="95">
        <f>H21*C56</f>
        <v>0</v>
      </c>
      <c r="K21" s="127">
        <v>0</v>
      </c>
      <c r="L21" s="95">
        <f>K21*C56</f>
        <v>0</v>
      </c>
      <c r="N21" s="127">
        <v>1</v>
      </c>
      <c r="O21" s="95">
        <f>N21*F56</f>
        <v>0</v>
      </c>
      <c r="Q21" s="127">
        <v>1</v>
      </c>
      <c r="R21" s="95">
        <f>Q21*I56</f>
        <v>0</v>
      </c>
      <c r="T21" s="127">
        <v>1</v>
      </c>
      <c r="U21" s="95">
        <f>T21*L56</f>
        <v>0</v>
      </c>
      <c r="W21" s="127">
        <v>1</v>
      </c>
      <c r="X21" s="95">
        <f>W21*O56</f>
        <v>0</v>
      </c>
    </row>
    <row r="22" spans="1:24">
      <c r="B22" s="94" t="s">
        <v>362</v>
      </c>
      <c r="C22" s="122">
        <f>(E22*E4)+(H22*H4)+(K22*K4)</f>
        <v>0</v>
      </c>
      <c r="D22" s="121"/>
      <c r="E22" s="127">
        <v>0</v>
      </c>
      <c r="F22" s="95">
        <f>E22*C56</f>
        <v>0</v>
      </c>
      <c r="H22" s="127">
        <v>0</v>
      </c>
      <c r="I22" s="95">
        <f>H22*C56</f>
        <v>0</v>
      </c>
      <c r="K22" s="127">
        <v>0</v>
      </c>
      <c r="L22" s="95">
        <f>K22*C56</f>
        <v>0</v>
      </c>
      <c r="N22" s="127">
        <v>4</v>
      </c>
      <c r="O22" s="95">
        <f>N22*F56</f>
        <v>0</v>
      </c>
      <c r="Q22" s="127">
        <v>4</v>
      </c>
      <c r="R22" s="95">
        <f>Q22*I56</f>
        <v>0</v>
      </c>
      <c r="T22" s="127">
        <v>4</v>
      </c>
      <c r="U22" s="95">
        <f>T22*L56</f>
        <v>0</v>
      </c>
      <c r="W22" s="127">
        <v>4</v>
      </c>
      <c r="X22" s="95">
        <f>W22*O56</f>
        <v>0</v>
      </c>
    </row>
    <row r="23" spans="1:24">
      <c r="B23" s="94" t="s">
        <v>118</v>
      </c>
      <c r="C23" s="122">
        <f>(E23*E4)+(H23*H4)+(K23*K4)</f>
        <v>0</v>
      </c>
      <c r="D23" s="121"/>
      <c r="E23" s="127">
        <v>0</v>
      </c>
      <c r="F23" s="95">
        <f>E23*C56</f>
        <v>0</v>
      </c>
      <c r="H23" s="127">
        <v>0</v>
      </c>
      <c r="I23" s="95">
        <f>H23*C56</f>
        <v>0</v>
      </c>
      <c r="K23" s="127">
        <v>0</v>
      </c>
      <c r="L23" s="95">
        <f>K23*C56</f>
        <v>0</v>
      </c>
      <c r="N23" s="127">
        <v>0</v>
      </c>
      <c r="O23" s="95">
        <f>N23*F56</f>
        <v>0</v>
      </c>
      <c r="Q23" s="127">
        <v>0</v>
      </c>
      <c r="R23" s="95">
        <f>Q23*I56</f>
        <v>0</v>
      </c>
      <c r="T23" s="127">
        <v>0</v>
      </c>
      <c r="U23" s="95">
        <f>T23*L56</f>
        <v>0</v>
      </c>
      <c r="W23" s="127">
        <v>0</v>
      </c>
      <c r="X23" s="95">
        <f>W23*O56</f>
        <v>0</v>
      </c>
    </row>
    <row r="24" spans="1:24">
      <c r="B24" s="94" t="s">
        <v>310</v>
      </c>
      <c r="C24" s="122">
        <f>(E24*E4)+(H24*H4)+(K24*K4)</f>
        <v>0</v>
      </c>
      <c r="D24" s="121"/>
      <c r="E24" s="131">
        <v>0</v>
      </c>
      <c r="F24" s="99">
        <f>E24*C56</f>
        <v>0</v>
      </c>
      <c r="H24" s="131">
        <v>0</v>
      </c>
      <c r="I24" s="99">
        <f>H24*C56</f>
        <v>0</v>
      </c>
      <c r="K24" s="131">
        <v>0</v>
      </c>
      <c r="L24" s="99">
        <f>K24*C56</f>
        <v>0</v>
      </c>
      <c r="N24" s="131">
        <v>0.5</v>
      </c>
      <c r="O24" s="99">
        <f>N24*F56</f>
        <v>0</v>
      </c>
      <c r="Q24" s="131">
        <v>0.5</v>
      </c>
      <c r="R24" s="99">
        <f>Q24*I56</f>
        <v>0</v>
      </c>
      <c r="T24" s="131">
        <v>0.5</v>
      </c>
      <c r="U24" s="99">
        <f>T24*L56</f>
        <v>0</v>
      </c>
      <c r="W24" s="131">
        <v>0.5</v>
      </c>
      <c r="X24" s="99">
        <f>W24*O56</f>
        <v>0</v>
      </c>
    </row>
    <row r="25" spans="1:24">
      <c r="B25" s="94"/>
      <c r="C25" s="122"/>
      <c r="D25" s="121"/>
      <c r="E25" s="94"/>
      <c r="F25" s="115"/>
      <c r="H25" s="94"/>
      <c r="I25" s="95"/>
      <c r="K25" s="94"/>
      <c r="L25" s="95"/>
      <c r="N25" s="94"/>
      <c r="O25" s="95"/>
      <c r="Q25" s="94"/>
      <c r="R25" s="95"/>
      <c r="T25" s="94"/>
      <c r="U25" s="95"/>
      <c r="W25" s="94"/>
      <c r="X25" s="95"/>
    </row>
    <row r="26" spans="1:24">
      <c r="A26" s="113"/>
      <c r="B26" s="116" t="s">
        <v>713</v>
      </c>
      <c r="C26" s="122"/>
      <c r="D26" s="121"/>
      <c r="E26" s="133" t="s">
        <v>705</v>
      </c>
      <c r="F26" s="130" t="s">
        <v>706</v>
      </c>
      <c r="G26" s="119"/>
      <c r="H26" s="133" t="s">
        <v>705</v>
      </c>
      <c r="I26" s="130" t="s">
        <v>706</v>
      </c>
      <c r="J26" s="119"/>
      <c r="K26" s="133" t="s">
        <v>705</v>
      </c>
      <c r="L26" s="130" t="s">
        <v>706</v>
      </c>
      <c r="N26" s="133" t="s">
        <v>705</v>
      </c>
      <c r="O26" s="130" t="s">
        <v>706</v>
      </c>
      <c r="Q26" s="133" t="s">
        <v>705</v>
      </c>
      <c r="R26" s="130" t="s">
        <v>706</v>
      </c>
      <c r="T26" s="133" t="s">
        <v>705</v>
      </c>
      <c r="U26" s="130" t="s">
        <v>706</v>
      </c>
      <c r="W26" s="133" t="s">
        <v>705</v>
      </c>
      <c r="X26" s="130" t="s">
        <v>706</v>
      </c>
    </row>
    <row r="27" spans="1:24">
      <c r="B27" s="94" t="s">
        <v>714</v>
      </c>
      <c r="C27" s="122">
        <f>(E27*E4)+(H27*H4)+(K27*K4)</f>
        <v>0</v>
      </c>
      <c r="D27" s="121"/>
      <c r="E27" s="127">
        <v>0</v>
      </c>
      <c r="F27" s="95">
        <f>E27*C57</f>
        <v>0</v>
      </c>
      <c r="H27" s="127">
        <v>0</v>
      </c>
      <c r="I27" s="95">
        <f>H27*C57</f>
        <v>0</v>
      </c>
      <c r="K27" s="127">
        <v>0</v>
      </c>
      <c r="L27" s="95">
        <f>K27*C57</f>
        <v>0</v>
      </c>
      <c r="N27" s="127">
        <v>1</v>
      </c>
      <c r="O27" s="95">
        <f>N27*F57</f>
        <v>0</v>
      </c>
      <c r="Q27" s="127">
        <v>1</v>
      </c>
      <c r="R27" s="95">
        <f>Q27*I57</f>
        <v>0</v>
      </c>
      <c r="T27" s="127">
        <v>1</v>
      </c>
      <c r="U27" s="95">
        <f>T27*L57</f>
        <v>0</v>
      </c>
      <c r="W27" s="127">
        <v>1</v>
      </c>
      <c r="X27" s="95">
        <f>W27*O57</f>
        <v>0</v>
      </c>
    </row>
    <row r="28" spans="1:24">
      <c r="B28" s="94" t="s">
        <v>106</v>
      </c>
      <c r="C28" s="122">
        <f>(E28*E4)+(H28*H4)+(K28*K4)</f>
        <v>0</v>
      </c>
      <c r="D28" s="121"/>
      <c r="E28" s="127">
        <v>0</v>
      </c>
      <c r="F28" s="95">
        <f>E28*C57</f>
        <v>0</v>
      </c>
      <c r="H28" s="127">
        <v>0</v>
      </c>
      <c r="I28" s="95">
        <f>H28*C57</f>
        <v>0</v>
      </c>
      <c r="K28" s="127">
        <v>0</v>
      </c>
      <c r="L28" s="95">
        <f>K28*C57</f>
        <v>0</v>
      </c>
      <c r="N28" s="127">
        <v>2</v>
      </c>
      <c r="O28" s="95">
        <f>N28*F57</f>
        <v>0</v>
      </c>
      <c r="Q28" s="127">
        <v>2</v>
      </c>
      <c r="R28" s="95">
        <f>Q28*I57</f>
        <v>0</v>
      </c>
      <c r="T28" s="127">
        <v>2</v>
      </c>
      <c r="U28" s="95">
        <f>T28*L57</f>
        <v>0</v>
      </c>
      <c r="W28" s="127">
        <v>2</v>
      </c>
      <c r="X28" s="95">
        <f>W28*O57</f>
        <v>0</v>
      </c>
    </row>
    <row r="29" spans="1:24">
      <c r="B29" s="94" t="s">
        <v>108</v>
      </c>
      <c r="C29" s="122">
        <f>(E29*E4)+(H29*H4)+(K29*K4)</f>
        <v>0</v>
      </c>
      <c r="D29" s="121"/>
      <c r="E29" s="127">
        <v>0</v>
      </c>
      <c r="F29" s="95">
        <f>E29*C57</f>
        <v>0</v>
      </c>
      <c r="H29" s="127">
        <v>0</v>
      </c>
      <c r="I29" s="95">
        <f>H29*C57</f>
        <v>0</v>
      </c>
      <c r="K29" s="127">
        <v>0</v>
      </c>
      <c r="L29" s="95">
        <f>K29*C57</f>
        <v>0</v>
      </c>
      <c r="N29" s="127">
        <v>0.5</v>
      </c>
      <c r="O29" s="95">
        <f>N29*F57</f>
        <v>0</v>
      </c>
      <c r="Q29" s="127">
        <v>0.5</v>
      </c>
      <c r="R29" s="95">
        <f>Q29*I57</f>
        <v>0</v>
      </c>
      <c r="T29" s="127">
        <v>0.5</v>
      </c>
      <c r="U29" s="95">
        <f>T29*L57</f>
        <v>0</v>
      </c>
      <c r="W29" s="127">
        <v>0.5</v>
      </c>
      <c r="X29" s="95">
        <f>W29*O57</f>
        <v>0</v>
      </c>
    </row>
    <row r="30" spans="1:24">
      <c r="B30" s="94" t="s">
        <v>715</v>
      </c>
      <c r="C30" s="122">
        <f>(E30*E4)+(H30*H4)+(K30*K4)</f>
        <v>0</v>
      </c>
      <c r="D30" s="121"/>
      <c r="E30" s="127">
        <v>0</v>
      </c>
      <c r="F30" s="95">
        <f>E30*C57</f>
        <v>0</v>
      </c>
      <c r="H30" s="127">
        <v>0</v>
      </c>
      <c r="I30" s="95">
        <f>H30*C57</f>
        <v>0</v>
      </c>
      <c r="K30" s="127">
        <v>0</v>
      </c>
      <c r="L30" s="95">
        <f>K30*C57</f>
        <v>0</v>
      </c>
      <c r="N30" s="127">
        <v>0</v>
      </c>
      <c r="O30" s="95">
        <f>N30*F57</f>
        <v>0</v>
      </c>
      <c r="Q30" s="127">
        <v>0</v>
      </c>
      <c r="R30" s="95">
        <f>Q30*I57</f>
        <v>0</v>
      </c>
      <c r="T30" s="127">
        <v>0</v>
      </c>
      <c r="U30" s="95">
        <f>T30*L57</f>
        <v>0</v>
      </c>
      <c r="W30" s="127">
        <v>0</v>
      </c>
      <c r="X30" s="95">
        <f>W30*O57</f>
        <v>0</v>
      </c>
    </row>
    <row r="31" spans="1:24">
      <c r="B31" s="94" t="s">
        <v>105</v>
      </c>
      <c r="C31" s="122">
        <f>(E31*E4)+(H31*H4)+(K31*K4)</f>
        <v>0</v>
      </c>
      <c r="D31" s="121"/>
      <c r="E31" s="127">
        <v>0</v>
      </c>
      <c r="F31" s="95">
        <f>E31*C57</f>
        <v>0</v>
      </c>
      <c r="H31" s="127">
        <v>0</v>
      </c>
      <c r="I31" s="95">
        <f>H31*C57</f>
        <v>0</v>
      </c>
      <c r="K31" s="127">
        <v>0</v>
      </c>
      <c r="L31" s="95">
        <f>K31*C57</f>
        <v>0</v>
      </c>
      <c r="N31" s="127">
        <v>0.5</v>
      </c>
      <c r="O31" s="95">
        <f>N31*F57</f>
        <v>0</v>
      </c>
      <c r="Q31" s="127">
        <v>0.5</v>
      </c>
      <c r="R31" s="95">
        <f>Q31*I57</f>
        <v>0</v>
      </c>
      <c r="T31" s="127">
        <v>0.5</v>
      </c>
      <c r="U31" s="95">
        <f>T31*L57</f>
        <v>0</v>
      </c>
      <c r="W31" s="127">
        <v>0.5</v>
      </c>
      <c r="X31" s="95">
        <f>W31*O57</f>
        <v>0</v>
      </c>
    </row>
    <row r="32" spans="1:24">
      <c r="B32" s="94" t="s">
        <v>716</v>
      </c>
      <c r="C32" s="122">
        <f>(E32*E4)+(H32*H4)+(K32*K4)</f>
        <v>0</v>
      </c>
      <c r="D32" s="121"/>
      <c r="E32" s="131">
        <v>0</v>
      </c>
      <c r="F32" s="99">
        <f>E32*C57</f>
        <v>0</v>
      </c>
      <c r="H32" s="131">
        <v>0</v>
      </c>
      <c r="I32" s="99">
        <f>H32*C57</f>
        <v>0</v>
      </c>
      <c r="K32" s="131">
        <v>0</v>
      </c>
      <c r="L32" s="99">
        <f>K32*C57</f>
        <v>0</v>
      </c>
      <c r="N32" s="131">
        <v>0</v>
      </c>
      <c r="O32" s="99">
        <f>N32*F57</f>
        <v>0</v>
      </c>
      <c r="Q32" s="131">
        <v>0</v>
      </c>
      <c r="R32" s="99">
        <f>Q32*I57</f>
        <v>0</v>
      </c>
      <c r="T32" s="131">
        <v>0</v>
      </c>
      <c r="U32" s="99">
        <f>T32*L57</f>
        <v>0</v>
      </c>
      <c r="W32" s="131">
        <v>0</v>
      </c>
      <c r="X32" s="99">
        <f>W32*O57</f>
        <v>0</v>
      </c>
    </row>
    <row r="33" spans="1:24">
      <c r="B33" s="94"/>
      <c r="C33" s="122"/>
      <c r="D33" s="121"/>
      <c r="E33" s="94"/>
      <c r="F33" s="95"/>
      <c r="H33" s="94"/>
      <c r="I33" s="95"/>
      <c r="K33" s="94"/>
      <c r="L33" s="95"/>
      <c r="N33" s="94"/>
      <c r="O33" s="95"/>
      <c r="Q33" s="94"/>
      <c r="R33" s="95"/>
      <c r="T33" s="94"/>
      <c r="U33" s="95"/>
      <c r="W33" s="94"/>
      <c r="X33" s="95"/>
    </row>
    <row r="34" spans="1:24">
      <c r="A34" s="113"/>
      <c r="B34" s="116" t="s">
        <v>717</v>
      </c>
      <c r="C34" s="122"/>
      <c r="D34" s="121"/>
      <c r="E34" s="133" t="s">
        <v>705</v>
      </c>
      <c r="F34" s="130" t="s">
        <v>706</v>
      </c>
      <c r="G34" s="119"/>
      <c r="H34" s="133" t="s">
        <v>705</v>
      </c>
      <c r="I34" s="130" t="s">
        <v>706</v>
      </c>
      <c r="J34" s="119"/>
      <c r="K34" s="133" t="s">
        <v>705</v>
      </c>
      <c r="L34" s="130" t="s">
        <v>706</v>
      </c>
      <c r="N34" s="133" t="s">
        <v>705</v>
      </c>
      <c r="O34" s="130" t="s">
        <v>706</v>
      </c>
      <c r="Q34" s="133" t="s">
        <v>705</v>
      </c>
      <c r="R34" s="130" t="s">
        <v>706</v>
      </c>
      <c r="T34" s="133" t="s">
        <v>705</v>
      </c>
      <c r="U34" s="130" t="s">
        <v>706</v>
      </c>
      <c r="W34" s="133" t="s">
        <v>705</v>
      </c>
      <c r="X34" s="130" t="s">
        <v>706</v>
      </c>
    </row>
    <row r="35" spans="1:24">
      <c r="B35" s="94" t="s">
        <v>125</v>
      </c>
      <c r="C35" s="122">
        <f>(E35*E4)+(H35*H4)+(K35*K4)</f>
        <v>0</v>
      </c>
      <c r="D35" s="121"/>
      <c r="E35" s="127">
        <v>0</v>
      </c>
      <c r="F35" s="95">
        <f>E35*C58</f>
        <v>0</v>
      </c>
      <c r="H35" s="127">
        <v>0</v>
      </c>
      <c r="I35" s="95">
        <f>H35*C58</f>
        <v>0</v>
      </c>
      <c r="K35" s="127">
        <v>0</v>
      </c>
      <c r="L35" s="95">
        <f>K35*C58</f>
        <v>0</v>
      </c>
      <c r="N35" s="127">
        <v>0</v>
      </c>
      <c r="O35" s="95">
        <f>N35*F58</f>
        <v>0</v>
      </c>
      <c r="Q35" s="127">
        <v>0</v>
      </c>
      <c r="R35" s="95">
        <f>Q35*I58</f>
        <v>0</v>
      </c>
      <c r="T35" s="127">
        <v>0</v>
      </c>
      <c r="U35" s="95">
        <f>T35*L58</f>
        <v>0</v>
      </c>
      <c r="W35" s="127">
        <v>0</v>
      </c>
      <c r="X35" s="95">
        <f>W35*O58</f>
        <v>0</v>
      </c>
    </row>
    <row r="36" spans="1:24">
      <c r="B36" s="94" t="s">
        <v>117</v>
      </c>
      <c r="C36" s="122">
        <f>(E36*E4)+(H36*H4)+(K36*K4)</f>
        <v>0</v>
      </c>
      <c r="D36" s="121"/>
      <c r="E36" s="127">
        <v>0</v>
      </c>
      <c r="F36" s="95">
        <f>E36*C58</f>
        <v>0</v>
      </c>
      <c r="H36" s="127">
        <v>0</v>
      </c>
      <c r="I36" s="95">
        <f>H36*C58</f>
        <v>0</v>
      </c>
      <c r="K36" s="127">
        <v>0</v>
      </c>
      <c r="L36" s="95">
        <f>K36*C58</f>
        <v>0</v>
      </c>
      <c r="N36" s="127">
        <v>0</v>
      </c>
      <c r="O36" s="95">
        <f>N36*F58</f>
        <v>0</v>
      </c>
      <c r="Q36" s="127">
        <v>0</v>
      </c>
      <c r="R36" s="95">
        <f>Q36*I58</f>
        <v>0</v>
      </c>
      <c r="T36" s="127">
        <v>0</v>
      </c>
      <c r="U36" s="95">
        <f>T36*L58</f>
        <v>0</v>
      </c>
      <c r="W36" s="127">
        <v>0</v>
      </c>
      <c r="X36" s="95">
        <f>W36*O58</f>
        <v>0</v>
      </c>
    </row>
    <row r="37" spans="1:24">
      <c r="B37" s="94" t="s">
        <v>107</v>
      </c>
      <c r="C37" s="122">
        <f>(E37*E4)+(H37*H4)+(K37+K4)</f>
        <v>0</v>
      </c>
      <c r="D37" s="121"/>
      <c r="E37" s="127">
        <v>0</v>
      </c>
      <c r="F37" s="95">
        <f>E37*C58</f>
        <v>0</v>
      </c>
      <c r="H37" s="127">
        <v>0</v>
      </c>
      <c r="I37" s="95">
        <f>H37*C58</f>
        <v>0</v>
      </c>
      <c r="K37" s="127">
        <v>0</v>
      </c>
      <c r="L37" s="95">
        <f>K37*C58</f>
        <v>0</v>
      </c>
      <c r="N37" s="127">
        <v>1</v>
      </c>
      <c r="O37" s="95">
        <f>N37*F58</f>
        <v>0</v>
      </c>
      <c r="Q37" s="127">
        <v>1</v>
      </c>
      <c r="R37" s="95">
        <f>Q37*I58</f>
        <v>0</v>
      </c>
      <c r="T37" s="127">
        <v>1</v>
      </c>
      <c r="U37" s="95">
        <f>T37*L58</f>
        <v>0</v>
      </c>
      <c r="W37" s="127">
        <v>1</v>
      </c>
      <c r="X37" s="95">
        <f>W37*O58</f>
        <v>0</v>
      </c>
    </row>
    <row r="38" spans="1:24">
      <c r="B38" s="94" t="s">
        <v>367</v>
      </c>
      <c r="C38" s="122">
        <f>(E38*E4)+(H38*H4)+(K38*K4)</f>
        <v>0</v>
      </c>
      <c r="D38" s="121"/>
      <c r="E38" s="127">
        <v>0</v>
      </c>
      <c r="F38" s="95">
        <f>E38*C58</f>
        <v>0</v>
      </c>
      <c r="H38" s="127">
        <v>0</v>
      </c>
      <c r="I38" s="95">
        <f>H38*C58</f>
        <v>0</v>
      </c>
      <c r="K38" s="127">
        <v>0</v>
      </c>
      <c r="L38" s="95">
        <f>K38*C58</f>
        <v>0</v>
      </c>
      <c r="N38" s="127">
        <v>0</v>
      </c>
      <c r="O38" s="95">
        <f>N38*F58</f>
        <v>0</v>
      </c>
      <c r="Q38" s="127">
        <v>0</v>
      </c>
      <c r="R38" s="95">
        <f>Q38*I58</f>
        <v>0</v>
      </c>
      <c r="T38" s="127">
        <v>0</v>
      </c>
      <c r="U38" s="95">
        <f>T38*L58</f>
        <v>0</v>
      </c>
      <c r="W38" s="127">
        <v>0</v>
      </c>
      <c r="X38" s="95">
        <f>W38*O58</f>
        <v>0</v>
      </c>
    </row>
    <row r="39" spans="1:24">
      <c r="B39" s="94" t="s">
        <v>718</v>
      </c>
      <c r="C39" s="122">
        <f>(E39*E4)+(H39*H4)+(K39*K4)</f>
        <v>0</v>
      </c>
      <c r="D39" s="121"/>
      <c r="E39" s="127">
        <v>0</v>
      </c>
      <c r="F39" s="95">
        <f>E39*C58</f>
        <v>0</v>
      </c>
      <c r="H39" s="127">
        <v>0</v>
      </c>
      <c r="I39" s="95">
        <f>H39*C58</f>
        <v>0</v>
      </c>
      <c r="K39" s="127">
        <v>0</v>
      </c>
      <c r="L39" s="95">
        <f>K39*C58</f>
        <v>0</v>
      </c>
      <c r="N39" s="127">
        <v>0</v>
      </c>
      <c r="O39" s="95">
        <f>N39*F58</f>
        <v>0</v>
      </c>
      <c r="Q39" s="127">
        <v>0</v>
      </c>
      <c r="R39" s="95">
        <f>Q39*I58</f>
        <v>0</v>
      </c>
      <c r="T39" s="127">
        <v>0</v>
      </c>
      <c r="U39" s="95">
        <f>T39*L58</f>
        <v>0</v>
      </c>
      <c r="W39" s="127">
        <v>0</v>
      </c>
      <c r="X39" s="95">
        <f>W39*O58</f>
        <v>0</v>
      </c>
    </row>
    <row r="40" spans="1:24">
      <c r="B40" s="94" t="s">
        <v>692</v>
      </c>
      <c r="C40" s="122">
        <f>(E40*E4)+(H40*H4)+(K40*K4)</f>
        <v>0</v>
      </c>
      <c r="D40" s="121"/>
      <c r="E40" s="127">
        <v>0</v>
      </c>
      <c r="F40" s="95">
        <f>E40*C58</f>
        <v>0</v>
      </c>
      <c r="H40" s="127">
        <v>0</v>
      </c>
      <c r="I40" s="95">
        <f>H40*C58</f>
        <v>0</v>
      </c>
      <c r="K40" s="127">
        <v>0</v>
      </c>
      <c r="L40" s="95">
        <f>K40*C58</f>
        <v>0</v>
      </c>
      <c r="N40" s="127">
        <v>1</v>
      </c>
      <c r="O40" s="95">
        <f>N40*F58</f>
        <v>0</v>
      </c>
      <c r="Q40" s="127">
        <v>1</v>
      </c>
      <c r="R40" s="95">
        <f>Q40*I58</f>
        <v>0</v>
      </c>
      <c r="T40" s="127">
        <v>1</v>
      </c>
      <c r="U40" s="95">
        <f>T40*L58</f>
        <v>0</v>
      </c>
      <c r="W40" s="127">
        <v>1</v>
      </c>
      <c r="X40" s="95">
        <f>W40*O58</f>
        <v>0</v>
      </c>
    </row>
    <row r="41" spans="1:24">
      <c r="B41" s="94" t="s">
        <v>719</v>
      </c>
      <c r="C41" s="122">
        <f>(E41*E4)+(H41*H4)+(K41*K4)</f>
        <v>0</v>
      </c>
      <c r="D41" s="121"/>
      <c r="E41" s="127">
        <v>0</v>
      </c>
      <c r="F41" s="95">
        <f>E41*C58</f>
        <v>0</v>
      </c>
      <c r="H41" s="127">
        <v>0</v>
      </c>
      <c r="I41" s="95">
        <f>H41*C58</f>
        <v>0</v>
      </c>
      <c r="K41" s="127">
        <v>0</v>
      </c>
      <c r="L41" s="95">
        <f>K41*C58</f>
        <v>0</v>
      </c>
      <c r="N41" s="127">
        <v>0</v>
      </c>
      <c r="O41" s="95">
        <f>N41*F58</f>
        <v>0</v>
      </c>
      <c r="Q41" s="127">
        <v>0</v>
      </c>
      <c r="R41" s="95">
        <f>Q41*I58</f>
        <v>0</v>
      </c>
      <c r="T41" s="127">
        <v>0</v>
      </c>
      <c r="U41" s="95">
        <f>T41*L58</f>
        <v>0</v>
      </c>
      <c r="W41" s="127">
        <v>0</v>
      </c>
      <c r="X41" s="95">
        <f>W41*O58</f>
        <v>0</v>
      </c>
    </row>
    <row r="42" spans="1:24">
      <c r="B42" s="94" t="s">
        <v>82</v>
      </c>
      <c r="C42" s="122">
        <f>(E42*E4)+(H42*H4)+(K42*K4)</f>
        <v>0</v>
      </c>
      <c r="D42" s="121"/>
      <c r="E42" s="127">
        <v>0</v>
      </c>
      <c r="F42" s="95">
        <f>E42*C58</f>
        <v>0</v>
      </c>
      <c r="H42" s="127">
        <v>0</v>
      </c>
      <c r="I42" s="95">
        <f>H42*C58</f>
        <v>0</v>
      </c>
      <c r="K42" s="127">
        <v>0</v>
      </c>
      <c r="L42" s="95">
        <f>K42*C58</f>
        <v>0</v>
      </c>
      <c r="N42" s="127">
        <v>0</v>
      </c>
      <c r="O42" s="95">
        <f>N42*F58</f>
        <v>0</v>
      </c>
      <c r="Q42" s="127">
        <v>0</v>
      </c>
      <c r="R42" s="95">
        <f>Q42*I58</f>
        <v>0</v>
      </c>
      <c r="T42" s="127">
        <v>0</v>
      </c>
      <c r="U42" s="95">
        <f>T42*L58</f>
        <v>0</v>
      </c>
      <c r="W42" s="127">
        <v>0</v>
      </c>
      <c r="X42" s="95">
        <f>W42*O58</f>
        <v>0</v>
      </c>
    </row>
    <row r="43" spans="1:24">
      <c r="B43" s="94" t="s">
        <v>88</v>
      </c>
      <c r="C43" s="122">
        <f>(E43*E4)+(H43*H4)+(K43*K4)</f>
        <v>0</v>
      </c>
      <c r="D43" s="121"/>
      <c r="E43" s="131">
        <v>0</v>
      </c>
      <c r="F43" s="99">
        <f>E43*C58</f>
        <v>0</v>
      </c>
      <c r="H43" s="131">
        <v>0</v>
      </c>
      <c r="I43" s="99">
        <f>H43*C58</f>
        <v>0</v>
      </c>
      <c r="K43" s="131">
        <v>0</v>
      </c>
      <c r="L43" s="99">
        <f>K43*C58</f>
        <v>0</v>
      </c>
      <c r="N43" s="131">
        <v>0</v>
      </c>
      <c r="O43" s="99">
        <f>N43*F58</f>
        <v>0</v>
      </c>
      <c r="Q43" s="131">
        <v>0</v>
      </c>
      <c r="R43" s="99">
        <f>Q43*I58</f>
        <v>0</v>
      </c>
      <c r="T43" s="131">
        <v>0</v>
      </c>
      <c r="U43" s="99">
        <f>T43*L58</f>
        <v>0</v>
      </c>
      <c r="W43" s="131">
        <v>0</v>
      </c>
      <c r="X43" s="99">
        <f>W43*O58</f>
        <v>0</v>
      </c>
    </row>
    <row r="44" spans="1:24">
      <c r="B44" s="94"/>
      <c r="C44" s="122"/>
      <c r="D44" s="121"/>
      <c r="E44" s="94"/>
      <c r="F44" s="95"/>
      <c r="H44" s="94"/>
      <c r="I44" s="95"/>
      <c r="K44" s="94"/>
      <c r="L44" s="95"/>
      <c r="N44" s="94"/>
      <c r="O44" s="95"/>
      <c r="Q44" s="94"/>
      <c r="R44" s="95"/>
      <c r="T44" s="94"/>
      <c r="U44" s="95"/>
      <c r="W44" s="94"/>
      <c r="X44" s="95"/>
    </row>
    <row r="45" spans="1:24">
      <c r="A45" s="113"/>
      <c r="B45" s="116" t="s">
        <v>720</v>
      </c>
      <c r="C45" s="122"/>
      <c r="D45" s="121"/>
      <c r="E45" s="133" t="s">
        <v>705</v>
      </c>
      <c r="F45" s="130" t="s">
        <v>706</v>
      </c>
      <c r="G45" s="119"/>
      <c r="H45" s="133" t="s">
        <v>705</v>
      </c>
      <c r="I45" s="130" t="s">
        <v>706</v>
      </c>
      <c r="J45" s="119"/>
      <c r="K45" s="133" t="s">
        <v>705</v>
      </c>
      <c r="L45" s="130" t="s">
        <v>706</v>
      </c>
      <c r="N45" s="133" t="s">
        <v>705</v>
      </c>
      <c r="O45" s="130" t="s">
        <v>706</v>
      </c>
      <c r="Q45" s="133" t="s">
        <v>705</v>
      </c>
      <c r="R45" s="130" t="s">
        <v>706</v>
      </c>
      <c r="T45" s="133" t="s">
        <v>705</v>
      </c>
      <c r="U45" s="130" t="s">
        <v>706</v>
      </c>
      <c r="W45" s="133" t="s">
        <v>705</v>
      </c>
      <c r="X45" s="130" t="s">
        <v>706</v>
      </c>
    </row>
    <row r="46" spans="1:24">
      <c r="A46" s="114"/>
      <c r="B46" s="118" t="s">
        <v>138</v>
      </c>
      <c r="C46" s="122">
        <f>(E46*E4)+(H46*H4)+(K46*K4)</f>
        <v>0</v>
      </c>
      <c r="D46" s="121"/>
      <c r="E46" s="127"/>
      <c r="F46" s="95">
        <f>E46*C59</f>
        <v>0</v>
      </c>
      <c r="H46" s="127"/>
      <c r="I46" s="95">
        <f>H46*C59</f>
        <v>0</v>
      </c>
      <c r="K46" s="127"/>
      <c r="L46" s="95">
        <f>K46*C59</f>
        <v>0</v>
      </c>
      <c r="N46" s="127">
        <v>0</v>
      </c>
      <c r="O46" s="95">
        <f>N46*F59</f>
        <v>0</v>
      </c>
      <c r="Q46" s="127">
        <v>0</v>
      </c>
      <c r="R46" s="95">
        <f>Q46*I59</f>
        <v>0</v>
      </c>
      <c r="T46" s="127">
        <v>0</v>
      </c>
      <c r="U46" s="95">
        <f>T46*L59</f>
        <v>0</v>
      </c>
      <c r="W46" s="127">
        <v>0</v>
      </c>
      <c r="X46" s="95">
        <f>W46*O59</f>
        <v>0</v>
      </c>
    </row>
    <row r="47" spans="1:24">
      <c r="B47" s="94" t="s">
        <v>132</v>
      </c>
      <c r="C47" s="122">
        <f>(E47*E4)+(H47*H4)+(K47*K4)</f>
        <v>0</v>
      </c>
      <c r="D47" s="121"/>
      <c r="E47" s="127">
        <v>0</v>
      </c>
      <c r="F47" s="95">
        <f>E47*C59</f>
        <v>0</v>
      </c>
      <c r="H47" s="127">
        <v>0</v>
      </c>
      <c r="I47" s="95">
        <f>H47*C59</f>
        <v>0</v>
      </c>
      <c r="K47" s="127">
        <v>0</v>
      </c>
      <c r="L47" s="95">
        <f>K47*C59</f>
        <v>0</v>
      </c>
      <c r="N47" s="127">
        <v>1</v>
      </c>
      <c r="O47" s="95">
        <f>N47*F59</f>
        <v>0</v>
      </c>
      <c r="Q47" s="127">
        <v>1</v>
      </c>
      <c r="R47" s="95">
        <f>Q47*I59</f>
        <v>0</v>
      </c>
      <c r="T47" s="127">
        <v>1</v>
      </c>
      <c r="U47" s="95">
        <f>T47*L59</f>
        <v>0</v>
      </c>
      <c r="W47" s="127">
        <v>1</v>
      </c>
      <c r="X47" s="95">
        <f>W47*O59</f>
        <v>0</v>
      </c>
    </row>
    <row r="48" spans="1:24">
      <c r="B48" s="94" t="s">
        <v>139</v>
      </c>
      <c r="C48" s="122">
        <f>(E48*E4)+(H48*H4)+(K48*K4)</f>
        <v>0</v>
      </c>
      <c r="D48" s="121"/>
      <c r="E48" s="127">
        <v>0</v>
      </c>
      <c r="F48" s="95">
        <f>E48*C59</f>
        <v>0</v>
      </c>
      <c r="H48" s="127">
        <v>0</v>
      </c>
      <c r="I48" s="95">
        <f>H48*C59</f>
        <v>0</v>
      </c>
      <c r="K48" s="127">
        <v>0</v>
      </c>
      <c r="L48" s="95">
        <f>K48*C59</f>
        <v>0</v>
      </c>
      <c r="N48" s="127">
        <v>1</v>
      </c>
      <c r="O48" s="95">
        <f>N48*F59</f>
        <v>0</v>
      </c>
      <c r="Q48" s="127">
        <v>1</v>
      </c>
      <c r="R48" s="95">
        <f>Q48*I59</f>
        <v>0</v>
      </c>
      <c r="T48" s="127">
        <v>1</v>
      </c>
      <c r="U48" s="95">
        <f>T48*L59</f>
        <v>0</v>
      </c>
      <c r="W48" s="127">
        <v>1</v>
      </c>
      <c r="X48" s="95">
        <f>W48*O59</f>
        <v>0</v>
      </c>
    </row>
    <row r="49" spans="2:24">
      <c r="B49" s="96" t="s">
        <v>136</v>
      </c>
      <c r="C49" s="123">
        <f>(E49*E4)+(H49*H4)+(K49*K4)</f>
        <v>0</v>
      </c>
      <c r="D49" s="121"/>
      <c r="E49" s="131">
        <v>0</v>
      </c>
      <c r="F49" s="99">
        <f>E49*C59</f>
        <v>0</v>
      </c>
      <c r="H49" s="131">
        <v>0</v>
      </c>
      <c r="I49" s="99">
        <f>H49*C59</f>
        <v>0</v>
      </c>
      <c r="K49" s="131">
        <v>0</v>
      </c>
      <c r="L49" s="99">
        <f>K49*C59</f>
        <v>0</v>
      </c>
      <c r="N49" s="131">
        <v>1</v>
      </c>
      <c r="O49" s="99">
        <f>N49*F59</f>
        <v>0</v>
      </c>
      <c r="Q49" s="131">
        <v>1</v>
      </c>
      <c r="R49" s="99">
        <f>Q49*I59</f>
        <v>0</v>
      </c>
      <c r="T49" s="131">
        <v>1</v>
      </c>
      <c r="U49" s="99">
        <f>T49*L59</f>
        <v>0</v>
      </c>
      <c r="W49" s="131">
        <v>1</v>
      </c>
      <c r="X49" s="99">
        <f>W49*O59</f>
        <v>0</v>
      </c>
    </row>
    <row r="52" spans="2:24" ht="19">
      <c r="B52" s="281" t="s">
        <v>721</v>
      </c>
      <c r="C52" s="282"/>
    </row>
    <row r="53" spans="2:24">
      <c r="B53" s="116" t="s">
        <v>5</v>
      </c>
      <c r="C53" s="117" t="s">
        <v>722</v>
      </c>
    </row>
    <row r="54" spans="2:24">
      <c r="B54" s="94" t="s">
        <v>143</v>
      </c>
      <c r="C54" s="134">
        <v>3.12</v>
      </c>
    </row>
    <row r="55" spans="2:24">
      <c r="B55" s="94" t="s">
        <v>145</v>
      </c>
      <c r="C55" s="134">
        <v>2.1800000000000002</v>
      </c>
    </row>
    <row r="56" spans="2:24">
      <c r="B56" s="94" t="s">
        <v>144</v>
      </c>
      <c r="C56" s="134">
        <v>2.4700000000000002</v>
      </c>
    </row>
    <row r="57" spans="2:24">
      <c r="B57" s="94" t="s">
        <v>682</v>
      </c>
      <c r="C57" s="134">
        <v>1.81</v>
      </c>
    </row>
    <row r="58" spans="2:24">
      <c r="B58" s="94" t="s">
        <v>687</v>
      </c>
      <c r="C58" s="134">
        <v>1.67</v>
      </c>
    </row>
    <row r="59" spans="2:24">
      <c r="B59" s="96" t="s">
        <v>684</v>
      </c>
      <c r="C59" s="135">
        <v>2.27</v>
      </c>
    </row>
    <row r="61" spans="2:24" ht="19">
      <c r="B61" s="276"/>
      <c r="C61" s="276"/>
    </row>
    <row r="62" spans="2:24">
      <c r="B62" s="76"/>
      <c r="C62" s="76"/>
    </row>
    <row r="64" spans="2:24">
      <c r="B64" t="s">
        <v>101</v>
      </c>
    </row>
    <row r="65" spans="2:2">
      <c r="B65" t="s">
        <v>77</v>
      </c>
    </row>
    <row r="66" spans="2:2">
      <c r="B66" t="s">
        <v>723</v>
      </c>
    </row>
  </sheetData>
  <mergeCells count="10">
    <mergeCell ref="N2:O2"/>
    <mergeCell ref="Q2:R2"/>
    <mergeCell ref="T2:U2"/>
    <mergeCell ref="W2:X2"/>
    <mergeCell ref="B61:C61"/>
    <mergeCell ref="B2:C3"/>
    <mergeCell ref="E2:F2"/>
    <mergeCell ref="H2:I2"/>
    <mergeCell ref="K2:L2"/>
    <mergeCell ref="B52:C5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AB44-585A-4015-8F42-1FF216B387D1}">
  <sheetPr codeName="Sheet12"/>
  <dimension ref="A2:X62"/>
  <sheetViews>
    <sheetView workbookViewId="0">
      <pane xSplit="3" topLeftCell="D1" activePane="topRight" state="frozen"/>
      <selection pane="topRight" activeCell="K15" sqref="K15"/>
    </sheetView>
  </sheetViews>
  <sheetFormatPr baseColWidth="10" defaultColWidth="8.83203125" defaultRowHeight="16"/>
  <cols>
    <col min="1" max="1" width="3.83203125" style="112" customWidth="1"/>
    <col min="2" max="2" width="16.33203125" customWidth="1"/>
    <col min="3" max="3" width="9.5" style="111" customWidth="1"/>
    <col min="4" max="4" width="4.1640625" style="111" customWidth="1"/>
    <col min="5" max="5" width="13.6640625" customWidth="1"/>
    <col min="6" max="6" width="12.33203125" customWidth="1"/>
    <col min="8" max="9" width="13.1640625" customWidth="1"/>
    <col min="11" max="12" width="13.1640625" customWidth="1"/>
    <col min="14" max="14" width="14.1640625" customWidth="1"/>
    <col min="15" max="15" width="14.6640625" customWidth="1"/>
    <col min="17" max="17" width="14.1640625" customWidth="1"/>
    <col min="18" max="18" width="14.6640625" customWidth="1"/>
    <col min="20" max="20" width="14.33203125" customWidth="1"/>
    <col min="21" max="21" width="14.6640625" customWidth="1"/>
    <col min="23" max="23" width="15.5" customWidth="1"/>
    <col min="24" max="24" width="16.1640625" customWidth="1"/>
  </cols>
  <sheetData>
    <row r="2" spans="1:24" ht="19">
      <c r="B2" s="277" t="s">
        <v>693</v>
      </c>
      <c r="C2" s="278"/>
      <c r="E2" s="274" t="s">
        <v>694</v>
      </c>
      <c r="F2" s="275"/>
      <c r="H2" s="274" t="s">
        <v>695</v>
      </c>
      <c r="I2" s="275"/>
      <c r="K2" s="274" t="s">
        <v>696</v>
      </c>
      <c r="L2" s="275"/>
      <c r="N2" s="274" t="s">
        <v>697</v>
      </c>
      <c r="O2" s="275"/>
      <c r="Q2" s="274" t="s">
        <v>698</v>
      </c>
      <c r="R2" s="275"/>
      <c r="T2" s="274" t="s">
        <v>699</v>
      </c>
      <c r="U2" s="275"/>
      <c r="W2" s="274" t="s">
        <v>700</v>
      </c>
      <c r="X2" s="275"/>
    </row>
    <row r="3" spans="1:24">
      <c r="B3" s="279"/>
      <c r="C3" s="280"/>
      <c r="E3" s="126" t="s">
        <v>701</v>
      </c>
      <c r="F3" s="128" t="s">
        <v>702</v>
      </c>
      <c r="H3" s="126" t="s">
        <v>701</v>
      </c>
      <c r="I3" s="128" t="s">
        <v>702</v>
      </c>
      <c r="K3" s="126" t="s">
        <v>701</v>
      </c>
      <c r="L3" s="128" t="s">
        <v>702</v>
      </c>
      <c r="N3" s="126" t="s">
        <v>701</v>
      </c>
      <c r="O3" s="128" t="s">
        <v>702</v>
      </c>
      <c r="Q3" s="126" t="s">
        <v>701</v>
      </c>
      <c r="R3" s="128" t="s">
        <v>702</v>
      </c>
      <c r="T3" s="126" t="s">
        <v>701</v>
      </c>
      <c r="U3" s="128" t="s">
        <v>702</v>
      </c>
      <c r="W3" s="126" t="s">
        <v>701</v>
      </c>
      <c r="X3" s="128" t="s">
        <v>702</v>
      </c>
    </row>
    <row r="4" spans="1:24">
      <c r="B4" s="124"/>
      <c r="C4" s="125"/>
      <c r="E4" s="127">
        <v>20</v>
      </c>
      <c r="F4" s="129">
        <f>SUM(F7:F49)</f>
        <v>35.700000000000003</v>
      </c>
      <c r="H4" s="127">
        <v>15</v>
      </c>
      <c r="I4" s="129">
        <f>SUM(I7:I49)</f>
        <v>35.340000000000003</v>
      </c>
      <c r="K4" s="127">
        <v>15</v>
      </c>
      <c r="L4" s="129">
        <f>SUM(L7:L49)</f>
        <v>36.860000000000014</v>
      </c>
      <c r="N4" s="127">
        <v>10</v>
      </c>
      <c r="O4" s="129">
        <f>SUM(O7:O49)</f>
        <v>0</v>
      </c>
      <c r="Q4" s="127">
        <v>15</v>
      </c>
      <c r="R4" s="129">
        <f>SUM(R7:R49)</f>
        <v>0</v>
      </c>
      <c r="T4" s="127">
        <v>15</v>
      </c>
      <c r="U4" s="129">
        <f>SUM(U7:U49)</f>
        <v>0</v>
      </c>
      <c r="W4" s="127">
        <v>15</v>
      </c>
      <c r="X4" s="129">
        <f>SUM(X7:X49)</f>
        <v>0</v>
      </c>
    </row>
    <row r="5" spans="1:24">
      <c r="B5" s="124"/>
      <c r="C5" s="125"/>
      <c r="E5" s="94"/>
      <c r="F5" s="115"/>
      <c r="H5" s="132"/>
      <c r="I5" s="115"/>
      <c r="K5" s="94"/>
      <c r="L5" s="115"/>
      <c r="N5" s="94"/>
      <c r="O5" s="115"/>
      <c r="Q5" s="94"/>
      <c r="R5" s="115"/>
      <c r="T5" s="94"/>
      <c r="U5" s="115"/>
      <c r="W5" s="94"/>
      <c r="X5" s="115"/>
    </row>
    <row r="6" spans="1:24">
      <c r="B6" s="116" t="s">
        <v>703</v>
      </c>
      <c r="C6" s="136" t="s">
        <v>704</v>
      </c>
      <c r="D6" s="120"/>
      <c r="E6" s="133" t="s">
        <v>705</v>
      </c>
      <c r="F6" s="130" t="s">
        <v>706</v>
      </c>
      <c r="G6" s="119"/>
      <c r="H6" s="133" t="s">
        <v>705</v>
      </c>
      <c r="I6" s="130" t="s">
        <v>706</v>
      </c>
      <c r="J6" s="119"/>
      <c r="K6" s="133" t="s">
        <v>705</v>
      </c>
      <c r="L6" s="130" t="s">
        <v>706</v>
      </c>
      <c r="N6" s="133" t="s">
        <v>705</v>
      </c>
      <c r="O6" s="130" t="s">
        <v>706</v>
      </c>
      <c r="Q6" s="133" t="s">
        <v>705</v>
      </c>
      <c r="R6" s="130" t="s">
        <v>706</v>
      </c>
      <c r="T6" s="133" t="s">
        <v>705</v>
      </c>
      <c r="U6" s="130" t="s">
        <v>706</v>
      </c>
      <c r="W6" s="133" t="s">
        <v>705</v>
      </c>
      <c r="X6" s="130" t="s">
        <v>706</v>
      </c>
    </row>
    <row r="7" spans="1:24">
      <c r="B7" s="94" t="s">
        <v>47</v>
      </c>
      <c r="C7" s="122">
        <f>(E7*E4)+(H7*H4)+(K7*K4)</f>
        <v>0</v>
      </c>
      <c r="D7" s="121"/>
      <c r="E7" s="127">
        <v>0</v>
      </c>
      <c r="F7" s="95">
        <f>E7*C54</f>
        <v>0</v>
      </c>
      <c r="H7" s="127">
        <v>0</v>
      </c>
      <c r="I7" s="95">
        <f>H7*C54</f>
        <v>0</v>
      </c>
      <c r="K7" s="127">
        <v>0</v>
      </c>
      <c r="L7" s="95">
        <f>K7*C54</f>
        <v>0</v>
      </c>
      <c r="N7" s="127">
        <v>0</v>
      </c>
      <c r="O7" s="95">
        <f>N7*F54</f>
        <v>0</v>
      </c>
      <c r="Q7" s="127">
        <v>0</v>
      </c>
      <c r="R7" s="95">
        <f>Q7*I54</f>
        <v>0</v>
      </c>
      <c r="T7" s="127">
        <v>0</v>
      </c>
      <c r="U7" s="95">
        <f>T7*L54</f>
        <v>0</v>
      </c>
      <c r="W7" s="127">
        <v>0</v>
      </c>
      <c r="X7" s="95">
        <f>W7*O54</f>
        <v>0</v>
      </c>
    </row>
    <row r="8" spans="1:24">
      <c r="B8" s="94" t="s">
        <v>707</v>
      </c>
      <c r="C8" s="122">
        <f>(E8*E4)+(H8+H4)+(K8+K4)</f>
        <v>90</v>
      </c>
      <c r="D8" s="121"/>
      <c r="E8" s="127">
        <v>3</v>
      </c>
      <c r="F8" s="95">
        <f>E8*C54</f>
        <v>9.36</v>
      </c>
      <c r="H8" s="127">
        <v>0</v>
      </c>
      <c r="I8" s="95">
        <f>H8*C54</f>
        <v>0</v>
      </c>
      <c r="K8" s="127">
        <v>0</v>
      </c>
      <c r="L8" s="95">
        <f>K8*C54</f>
        <v>0</v>
      </c>
      <c r="N8" s="127">
        <v>0</v>
      </c>
      <c r="O8" s="95">
        <f>N8*F54</f>
        <v>0</v>
      </c>
      <c r="Q8" s="127">
        <v>0</v>
      </c>
      <c r="R8" s="95">
        <f>Q8*I54</f>
        <v>0</v>
      </c>
      <c r="T8" s="127">
        <v>0</v>
      </c>
      <c r="U8" s="95">
        <f>T8*L54</f>
        <v>0</v>
      </c>
      <c r="W8" s="127">
        <v>0</v>
      </c>
      <c r="X8" s="95">
        <f>W8*O54</f>
        <v>0</v>
      </c>
    </row>
    <row r="9" spans="1:24">
      <c r="B9" s="94" t="s">
        <v>708</v>
      </c>
      <c r="C9" s="122">
        <f>(E9*E4)+(H9*H4)+(K9*K4)</f>
        <v>0</v>
      </c>
      <c r="D9" s="121"/>
      <c r="E9" s="131">
        <v>0</v>
      </c>
      <c r="F9" s="99">
        <f>E9*C54</f>
        <v>0</v>
      </c>
      <c r="H9" s="131">
        <v>0</v>
      </c>
      <c r="I9" s="99">
        <f>H9*C54</f>
        <v>0</v>
      </c>
      <c r="K9" s="131">
        <v>0</v>
      </c>
      <c r="L9" s="99">
        <f>K9*C54</f>
        <v>0</v>
      </c>
      <c r="N9" s="131">
        <v>0</v>
      </c>
      <c r="O9" s="99">
        <f>N9*F54</f>
        <v>0</v>
      </c>
      <c r="Q9" s="131">
        <v>0</v>
      </c>
      <c r="R9" s="99">
        <f>Q9*I54</f>
        <v>0</v>
      </c>
      <c r="T9" s="131">
        <v>0</v>
      </c>
      <c r="U9" s="99">
        <f>T9*L54</f>
        <v>0</v>
      </c>
      <c r="W9" s="131">
        <v>0</v>
      </c>
      <c r="X9" s="99">
        <f>W9*O54</f>
        <v>0</v>
      </c>
    </row>
    <row r="10" spans="1:24">
      <c r="B10" s="94"/>
      <c r="C10" s="122"/>
      <c r="D10" s="121"/>
      <c r="E10" s="94"/>
      <c r="F10" s="115"/>
      <c r="H10" s="94"/>
      <c r="I10" s="115"/>
      <c r="K10" s="94"/>
      <c r="L10" s="115"/>
      <c r="N10" s="94"/>
      <c r="O10" s="115"/>
      <c r="Q10" s="94"/>
      <c r="R10" s="115"/>
      <c r="T10" s="94"/>
      <c r="U10" s="115"/>
      <c r="W10" s="94"/>
      <c r="X10" s="115"/>
    </row>
    <row r="11" spans="1:24">
      <c r="A11" s="113"/>
      <c r="B11" s="116" t="s">
        <v>709</v>
      </c>
      <c r="C11" s="122"/>
      <c r="D11" s="121"/>
      <c r="E11" s="133" t="s">
        <v>705</v>
      </c>
      <c r="F11" s="130" t="s">
        <v>706</v>
      </c>
      <c r="G11" s="119"/>
      <c r="H11" s="133" t="s">
        <v>705</v>
      </c>
      <c r="I11" s="130" t="s">
        <v>706</v>
      </c>
      <c r="J11" s="119"/>
      <c r="K11" s="133" t="s">
        <v>705</v>
      </c>
      <c r="L11" s="130" t="s">
        <v>706</v>
      </c>
      <c r="N11" s="133" t="s">
        <v>705</v>
      </c>
      <c r="O11" s="130" t="s">
        <v>706</v>
      </c>
      <c r="Q11" s="133" t="s">
        <v>705</v>
      </c>
      <c r="R11" s="130" t="s">
        <v>706</v>
      </c>
      <c r="T11" s="133" t="s">
        <v>705</v>
      </c>
      <c r="U11" s="130" t="s">
        <v>706</v>
      </c>
      <c r="W11" s="133" t="s">
        <v>705</v>
      </c>
      <c r="X11" s="130" t="s">
        <v>706</v>
      </c>
    </row>
    <row r="12" spans="1:24">
      <c r="B12" s="94" t="s">
        <v>710</v>
      </c>
      <c r="C12" s="122">
        <f>(E12*E4)+(H12*H4)+(K12*K4)</f>
        <v>55</v>
      </c>
      <c r="D12" s="121"/>
      <c r="E12" s="127">
        <v>2</v>
      </c>
      <c r="F12" s="95">
        <f>E12*C55</f>
        <v>4.3600000000000003</v>
      </c>
      <c r="H12" s="127">
        <v>0</v>
      </c>
      <c r="I12" s="95">
        <f>H12*C55</f>
        <v>0</v>
      </c>
      <c r="K12" s="127">
        <v>1</v>
      </c>
      <c r="L12" s="95">
        <f>K12*C55</f>
        <v>2.1800000000000002</v>
      </c>
      <c r="N12" s="127">
        <v>7</v>
      </c>
      <c r="O12" s="95">
        <f>N12*F55</f>
        <v>0</v>
      </c>
      <c r="Q12" s="127">
        <v>1</v>
      </c>
      <c r="R12" s="95">
        <f>Q12*I55</f>
        <v>0</v>
      </c>
      <c r="T12" s="127">
        <v>1</v>
      </c>
      <c r="U12" s="95">
        <f>T12*L55</f>
        <v>0</v>
      </c>
      <c r="W12" s="127">
        <v>1</v>
      </c>
      <c r="X12" s="95">
        <f>W12*O55</f>
        <v>0</v>
      </c>
    </row>
    <row r="13" spans="1:24">
      <c r="B13" s="94" t="s">
        <v>97</v>
      </c>
      <c r="C13" s="122">
        <f>(E13*E4)+(H13*H4)+(K13*K4)</f>
        <v>0</v>
      </c>
      <c r="D13" s="121"/>
      <c r="E13" s="127">
        <v>0</v>
      </c>
      <c r="F13" s="95">
        <f>E13*C55</f>
        <v>0</v>
      </c>
      <c r="H13" s="127">
        <v>0</v>
      </c>
      <c r="I13" s="95">
        <f>H13*C55</f>
        <v>0</v>
      </c>
      <c r="K13" s="127">
        <v>0</v>
      </c>
      <c r="L13" s="95">
        <f>K13*C55</f>
        <v>0</v>
      </c>
      <c r="N13" s="127">
        <v>0</v>
      </c>
      <c r="O13" s="95">
        <f>N13*F55</f>
        <v>0</v>
      </c>
      <c r="Q13" s="127">
        <v>0</v>
      </c>
      <c r="R13" s="95">
        <f>Q13*I55</f>
        <v>0</v>
      </c>
      <c r="T13" s="127">
        <v>0</v>
      </c>
      <c r="U13" s="95">
        <f>T13*L55</f>
        <v>0</v>
      </c>
      <c r="W13" s="127">
        <v>0</v>
      </c>
      <c r="X13" s="95">
        <f>W13*O55</f>
        <v>0</v>
      </c>
    </row>
    <row r="14" spans="1:24">
      <c r="B14" s="94" t="s">
        <v>96</v>
      </c>
      <c r="C14" s="122">
        <f>(E14*E4)+(H14*H4)+(K14*K4)</f>
        <v>0</v>
      </c>
      <c r="D14" s="121"/>
      <c r="E14" s="127">
        <v>0</v>
      </c>
      <c r="F14" s="95">
        <f>E14*C55</f>
        <v>0</v>
      </c>
      <c r="H14" s="127">
        <v>0</v>
      </c>
      <c r="I14" s="95">
        <f>H14*C55</f>
        <v>0</v>
      </c>
      <c r="K14" s="127">
        <v>0</v>
      </c>
      <c r="L14" s="95">
        <f>K14*C55</f>
        <v>0</v>
      </c>
      <c r="N14" s="127">
        <v>0</v>
      </c>
      <c r="O14" s="95">
        <f>N14*F55</f>
        <v>0</v>
      </c>
      <c r="Q14" s="127">
        <v>0</v>
      </c>
      <c r="R14" s="95">
        <f>Q14*I55</f>
        <v>0</v>
      </c>
      <c r="T14" s="127">
        <v>0</v>
      </c>
      <c r="U14" s="95">
        <f>T14*L55</f>
        <v>0</v>
      </c>
      <c r="W14" s="127">
        <v>0</v>
      </c>
      <c r="X14" s="95">
        <f>W14*O55</f>
        <v>0</v>
      </c>
    </row>
    <row r="15" spans="1:24">
      <c r="B15" s="94" t="s">
        <v>95</v>
      </c>
      <c r="C15" s="122">
        <f>(E15*E4)+(H15*H4)+(K15*K4)</f>
        <v>0</v>
      </c>
      <c r="D15" s="121"/>
      <c r="E15" s="131">
        <v>0</v>
      </c>
      <c r="F15" s="99">
        <f>E15*C55</f>
        <v>0</v>
      </c>
      <c r="H15" s="131">
        <v>0</v>
      </c>
      <c r="I15" s="99">
        <f>H15*C55</f>
        <v>0</v>
      </c>
      <c r="K15" s="131">
        <v>0</v>
      </c>
      <c r="L15" s="99">
        <f>K15*C55</f>
        <v>0</v>
      </c>
      <c r="N15" s="131">
        <v>0</v>
      </c>
      <c r="O15" s="99">
        <f>N15*F55</f>
        <v>0</v>
      </c>
      <c r="Q15" s="131">
        <v>0</v>
      </c>
      <c r="R15" s="99">
        <f>Q15*I55</f>
        <v>0</v>
      </c>
      <c r="T15" s="131">
        <v>0</v>
      </c>
      <c r="U15" s="99">
        <f>T15*L55</f>
        <v>0</v>
      </c>
      <c r="W15" s="131">
        <v>0</v>
      </c>
      <c r="X15" s="99">
        <f>W15*O55</f>
        <v>0</v>
      </c>
    </row>
    <row r="16" spans="1:24">
      <c r="B16" s="94"/>
      <c r="C16" s="122"/>
      <c r="D16" s="121"/>
      <c r="E16" s="94"/>
      <c r="F16" s="115"/>
      <c r="H16" s="94"/>
      <c r="I16" s="115"/>
      <c r="K16" s="94"/>
      <c r="L16" s="115"/>
      <c r="N16" s="94"/>
      <c r="O16" s="115"/>
      <c r="Q16" s="94"/>
      <c r="R16" s="115"/>
      <c r="T16" s="94"/>
      <c r="U16" s="115"/>
      <c r="W16" s="94"/>
      <c r="X16" s="115"/>
    </row>
    <row r="17" spans="1:24">
      <c r="A17" s="113"/>
      <c r="B17" s="116" t="s">
        <v>711</v>
      </c>
      <c r="C17" s="122"/>
      <c r="D17" s="121"/>
      <c r="E17" s="133" t="s">
        <v>705</v>
      </c>
      <c r="F17" s="130" t="s">
        <v>706</v>
      </c>
      <c r="G17" s="119"/>
      <c r="H17" s="133" t="s">
        <v>705</v>
      </c>
      <c r="I17" s="130" t="s">
        <v>706</v>
      </c>
      <c r="J17" s="119"/>
      <c r="K17" s="133" t="s">
        <v>705</v>
      </c>
      <c r="L17" s="130" t="s">
        <v>706</v>
      </c>
      <c r="N17" s="133" t="s">
        <v>705</v>
      </c>
      <c r="O17" s="130" t="s">
        <v>706</v>
      </c>
      <c r="Q17" s="133" t="s">
        <v>705</v>
      </c>
      <c r="R17" s="130" t="s">
        <v>706</v>
      </c>
      <c r="T17" s="133" t="s">
        <v>705</v>
      </c>
      <c r="U17" s="130" t="s">
        <v>706</v>
      </c>
      <c r="W17" s="133" t="s">
        <v>705</v>
      </c>
      <c r="X17" s="130" t="s">
        <v>706</v>
      </c>
    </row>
    <row r="18" spans="1:24">
      <c r="B18" s="94" t="s">
        <v>712</v>
      </c>
      <c r="C18" s="122">
        <f>(E18*E4)+(H18*H4)+(K18*K4)</f>
        <v>45</v>
      </c>
      <c r="D18" s="121"/>
      <c r="E18" s="127">
        <v>0</v>
      </c>
      <c r="F18" s="95">
        <f>E18*C56</f>
        <v>0</v>
      </c>
      <c r="H18" s="127">
        <v>3</v>
      </c>
      <c r="I18" s="95">
        <f>H18*C56</f>
        <v>7.41</v>
      </c>
      <c r="K18" s="127">
        <v>0</v>
      </c>
      <c r="L18" s="95">
        <f>K18*C56</f>
        <v>0</v>
      </c>
      <c r="N18" s="127">
        <v>0</v>
      </c>
      <c r="O18" s="95">
        <f>N18*F56</f>
        <v>0</v>
      </c>
      <c r="Q18" s="127">
        <v>0</v>
      </c>
      <c r="R18" s="95">
        <f>Q18*I56</f>
        <v>0</v>
      </c>
      <c r="T18" s="127">
        <v>0</v>
      </c>
      <c r="U18" s="95">
        <f>T18*L56</f>
        <v>0</v>
      </c>
      <c r="W18" s="127">
        <v>0</v>
      </c>
      <c r="X18" s="95">
        <f>W18*O56</f>
        <v>0</v>
      </c>
    </row>
    <row r="19" spans="1:24">
      <c r="B19" s="94" t="s">
        <v>86</v>
      </c>
      <c r="C19" s="122">
        <f>(E19*E4)+(H19*H4)+(K19*K4)</f>
        <v>85</v>
      </c>
      <c r="D19" s="121"/>
      <c r="E19" s="127">
        <v>2</v>
      </c>
      <c r="F19" s="95">
        <f>E19*C56</f>
        <v>4.9400000000000004</v>
      </c>
      <c r="H19" s="127">
        <v>2</v>
      </c>
      <c r="I19" s="95">
        <f>H19*C56</f>
        <v>4.9400000000000004</v>
      </c>
      <c r="K19" s="127">
        <v>1</v>
      </c>
      <c r="L19" s="95">
        <f>K19*C56</f>
        <v>2.4700000000000002</v>
      </c>
      <c r="N19" s="127">
        <v>1</v>
      </c>
      <c r="O19" s="95">
        <f>N19*F56</f>
        <v>0</v>
      </c>
      <c r="Q19" s="127">
        <v>1</v>
      </c>
      <c r="R19" s="95">
        <f>Q19*I56</f>
        <v>0</v>
      </c>
      <c r="T19" s="127">
        <v>1</v>
      </c>
      <c r="U19" s="95">
        <f>T19*L56</f>
        <v>0</v>
      </c>
      <c r="W19" s="127">
        <v>1</v>
      </c>
      <c r="X19" s="95">
        <f>W19*O56</f>
        <v>0</v>
      </c>
    </row>
    <row r="20" spans="1:24">
      <c r="B20" s="94" t="s">
        <v>120</v>
      </c>
      <c r="C20" s="122">
        <f>(E20*E4)+(H20*H4)+(K20*K4)</f>
        <v>7.5</v>
      </c>
      <c r="D20" s="121"/>
      <c r="E20" s="127">
        <v>0</v>
      </c>
      <c r="F20" s="95">
        <f>E20*C56</f>
        <v>0</v>
      </c>
      <c r="H20" s="127">
        <v>0</v>
      </c>
      <c r="I20" s="95">
        <f>H20*C56</f>
        <v>0</v>
      </c>
      <c r="K20" s="127">
        <v>0.5</v>
      </c>
      <c r="L20" s="95">
        <f>K20*C56</f>
        <v>1.2350000000000001</v>
      </c>
      <c r="N20" s="127">
        <v>0.5</v>
      </c>
      <c r="O20" s="95">
        <f>N20*F56</f>
        <v>0</v>
      </c>
      <c r="Q20" s="127">
        <v>0.5</v>
      </c>
      <c r="R20" s="95">
        <f>Q20*I56</f>
        <v>0</v>
      </c>
      <c r="T20" s="127">
        <v>0.5</v>
      </c>
      <c r="U20" s="95">
        <f>T20*L56</f>
        <v>0</v>
      </c>
      <c r="W20" s="127">
        <v>0.5</v>
      </c>
      <c r="X20" s="95">
        <f>W20*O56</f>
        <v>0</v>
      </c>
    </row>
    <row r="21" spans="1:24">
      <c r="B21" s="94" t="s">
        <v>89</v>
      </c>
      <c r="C21" s="122">
        <f>(E21*E4)+(H21*H4)+(K21*K4)</f>
        <v>15</v>
      </c>
      <c r="D21" s="121"/>
      <c r="E21" s="127">
        <v>0</v>
      </c>
      <c r="F21" s="95">
        <f>E21*C56</f>
        <v>0</v>
      </c>
      <c r="H21" s="127">
        <v>0</v>
      </c>
      <c r="I21" s="95">
        <f>H21*C56</f>
        <v>0</v>
      </c>
      <c r="K21" s="127">
        <v>1</v>
      </c>
      <c r="L21" s="95">
        <f>K21*C56</f>
        <v>2.4700000000000002</v>
      </c>
      <c r="N21" s="127">
        <v>1</v>
      </c>
      <c r="O21" s="95">
        <f>N21*F56</f>
        <v>0</v>
      </c>
      <c r="Q21" s="127">
        <v>1</v>
      </c>
      <c r="R21" s="95">
        <f>Q21*I56</f>
        <v>0</v>
      </c>
      <c r="T21" s="127">
        <v>1</v>
      </c>
      <c r="U21" s="95">
        <f>T21*L56</f>
        <v>0</v>
      </c>
      <c r="W21" s="127">
        <v>1</v>
      </c>
      <c r="X21" s="95">
        <f>W21*O56</f>
        <v>0</v>
      </c>
    </row>
    <row r="22" spans="1:24">
      <c r="B22" s="94" t="s">
        <v>362</v>
      </c>
      <c r="C22" s="122">
        <f>(E22*E4)+(H22*H4)+(K22*K4)</f>
        <v>145</v>
      </c>
      <c r="D22" s="121"/>
      <c r="E22" s="127">
        <v>2</v>
      </c>
      <c r="F22" s="95">
        <f>E22*C56</f>
        <v>4.9400000000000004</v>
      </c>
      <c r="H22" s="127">
        <v>3</v>
      </c>
      <c r="I22" s="95">
        <f>H22*C56</f>
        <v>7.41</v>
      </c>
      <c r="K22" s="127">
        <v>4</v>
      </c>
      <c r="L22" s="95">
        <f>K22*C56</f>
        <v>9.8800000000000008</v>
      </c>
      <c r="N22" s="127">
        <v>4</v>
      </c>
      <c r="O22" s="95">
        <f>N22*F56</f>
        <v>0</v>
      </c>
      <c r="Q22" s="127">
        <v>4</v>
      </c>
      <c r="R22" s="95">
        <f>Q22*I56</f>
        <v>0</v>
      </c>
      <c r="T22" s="127">
        <v>4</v>
      </c>
      <c r="U22" s="95">
        <f>T22*L56</f>
        <v>0</v>
      </c>
      <c r="W22" s="127">
        <v>4</v>
      </c>
      <c r="X22" s="95">
        <f>W22*O56</f>
        <v>0</v>
      </c>
    </row>
    <row r="23" spans="1:24">
      <c r="B23" s="94" t="s">
        <v>118</v>
      </c>
      <c r="C23" s="122">
        <f>(E23*E4)+(H23*H4)+(K23*K4)</f>
        <v>0</v>
      </c>
      <c r="D23" s="121"/>
      <c r="E23" s="127">
        <v>0</v>
      </c>
      <c r="F23" s="95">
        <f>E23*C56</f>
        <v>0</v>
      </c>
      <c r="H23" s="127">
        <v>0</v>
      </c>
      <c r="I23" s="95">
        <f>H23*C56</f>
        <v>0</v>
      </c>
      <c r="K23" s="127">
        <v>0</v>
      </c>
      <c r="L23" s="95">
        <f>K23*C56</f>
        <v>0</v>
      </c>
      <c r="N23" s="127">
        <v>0</v>
      </c>
      <c r="O23" s="95">
        <f>N23*F56</f>
        <v>0</v>
      </c>
      <c r="Q23" s="127">
        <v>0</v>
      </c>
      <c r="R23" s="95">
        <f>Q23*I56</f>
        <v>0</v>
      </c>
      <c r="T23" s="127">
        <v>0</v>
      </c>
      <c r="U23" s="95">
        <f>T23*L56</f>
        <v>0</v>
      </c>
      <c r="W23" s="127">
        <v>0</v>
      </c>
      <c r="X23" s="95">
        <f>W23*O56</f>
        <v>0</v>
      </c>
    </row>
    <row r="24" spans="1:24">
      <c r="B24" s="94" t="s">
        <v>310</v>
      </c>
      <c r="C24" s="122">
        <f>(E24*E4)+(H24*H4)+(K24*K4)</f>
        <v>7.5</v>
      </c>
      <c r="D24" s="121"/>
      <c r="E24" s="131">
        <v>0</v>
      </c>
      <c r="F24" s="99">
        <f>E24*C56</f>
        <v>0</v>
      </c>
      <c r="H24" s="131">
        <v>0</v>
      </c>
      <c r="I24" s="99">
        <f>H24*C56</f>
        <v>0</v>
      </c>
      <c r="K24" s="131">
        <v>0.5</v>
      </c>
      <c r="L24" s="99">
        <f>K24*C56</f>
        <v>1.2350000000000001</v>
      </c>
      <c r="N24" s="131">
        <v>0.5</v>
      </c>
      <c r="O24" s="99">
        <f>N24*F56</f>
        <v>0</v>
      </c>
      <c r="Q24" s="131">
        <v>0.5</v>
      </c>
      <c r="R24" s="99">
        <f>Q24*I56</f>
        <v>0</v>
      </c>
      <c r="T24" s="131">
        <v>0.5</v>
      </c>
      <c r="U24" s="99">
        <f>T24*L56</f>
        <v>0</v>
      </c>
      <c r="W24" s="131">
        <v>0.5</v>
      </c>
      <c r="X24" s="99">
        <f>W24*O56</f>
        <v>0</v>
      </c>
    </row>
    <row r="25" spans="1:24">
      <c r="B25" s="94"/>
      <c r="C25" s="122"/>
      <c r="D25" s="121"/>
      <c r="E25" s="94"/>
      <c r="F25" s="115"/>
      <c r="H25" s="94"/>
      <c r="I25" s="95"/>
      <c r="K25" s="94"/>
      <c r="L25" s="95"/>
      <c r="N25" s="94"/>
      <c r="O25" s="95"/>
      <c r="Q25" s="94"/>
      <c r="R25" s="95"/>
      <c r="T25" s="94"/>
      <c r="U25" s="95"/>
      <c r="W25" s="94"/>
      <c r="X25" s="95"/>
    </row>
    <row r="26" spans="1:24">
      <c r="A26" s="113"/>
      <c r="B26" s="116" t="s">
        <v>713</v>
      </c>
      <c r="C26" s="122"/>
      <c r="D26" s="121"/>
      <c r="E26" s="133" t="s">
        <v>705</v>
      </c>
      <c r="F26" s="130" t="s">
        <v>706</v>
      </c>
      <c r="G26" s="119"/>
      <c r="H26" s="133" t="s">
        <v>705</v>
      </c>
      <c r="I26" s="130" t="s">
        <v>706</v>
      </c>
      <c r="J26" s="119"/>
      <c r="K26" s="133" t="s">
        <v>705</v>
      </c>
      <c r="L26" s="130" t="s">
        <v>706</v>
      </c>
      <c r="N26" s="133" t="s">
        <v>705</v>
      </c>
      <c r="O26" s="130" t="s">
        <v>706</v>
      </c>
      <c r="Q26" s="133" t="s">
        <v>705</v>
      </c>
      <c r="R26" s="130" t="s">
        <v>706</v>
      </c>
      <c r="T26" s="133" t="s">
        <v>705</v>
      </c>
      <c r="U26" s="130" t="s">
        <v>706</v>
      </c>
      <c r="W26" s="133" t="s">
        <v>705</v>
      </c>
      <c r="X26" s="130" t="s">
        <v>706</v>
      </c>
    </row>
    <row r="27" spans="1:24">
      <c r="B27" s="94" t="s">
        <v>714</v>
      </c>
      <c r="C27" s="122">
        <f>(E27*E4)+(H27*H4)+(K27*K4)</f>
        <v>35</v>
      </c>
      <c r="D27" s="121"/>
      <c r="E27" s="127">
        <v>1</v>
      </c>
      <c r="F27" s="95">
        <f>E27*C57</f>
        <v>1.81</v>
      </c>
      <c r="H27" s="127">
        <v>0</v>
      </c>
      <c r="I27" s="95">
        <f>H27*C57</f>
        <v>0</v>
      </c>
      <c r="K27" s="127">
        <v>1</v>
      </c>
      <c r="L27" s="95">
        <f>K27*C57</f>
        <v>1.81</v>
      </c>
      <c r="N27" s="127">
        <v>1</v>
      </c>
      <c r="O27" s="95">
        <f>N27*F57</f>
        <v>0</v>
      </c>
      <c r="Q27" s="127">
        <v>1</v>
      </c>
      <c r="R27" s="95">
        <f>Q27*I57</f>
        <v>0</v>
      </c>
      <c r="T27" s="127">
        <v>1</v>
      </c>
      <c r="U27" s="95">
        <f>T27*L57</f>
        <v>0</v>
      </c>
      <c r="W27" s="127">
        <v>1</v>
      </c>
      <c r="X27" s="95">
        <f>W27*O57</f>
        <v>0</v>
      </c>
    </row>
    <row r="28" spans="1:24">
      <c r="B28" s="94" t="s">
        <v>724</v>
      </c>
      <c r="C28" s="122">
        <f>(E28*E4)+(H28*H4)+(K28*K4)</f>
        <v>75</v>
      </c>
      <c r="D28" s="121"/>
      <c r="E28" s="127">
        <v>0</v>
      </c>
      <c r="F28" s="95">
        <f>E28*C57</f>
        <v>0</v>
      </c>
      <c r="H28" s="127">
        <v>3</v>
      </c>
      <c r="I28" s="95">
        <f>H28*C57</f>
        <v>5.43</v>
      </c>
      <c r="K28" s="127">
        <v>2</v>
      </c>
      <c r="L28" s="95">
        <f>K28*C57</f>
        <v>3.62</v>
      </c>
      <c r="N28" s="127">
        <v>2</v>
      </c>
      <c r="O28" s="95">
        <f>N28*F57</f>
        <v>0</v>
      </c>
      <c r="Q28" s="127">
        <v>2</v>
      </c>
      <c r="R28" s="95">
        <f>Q28*I57</f>
        <v>0</v>
      </c>
      <c r="T28" s="127">
        <v>2</v>
      </c>
      <c r="U28" s="95">
        <f>T28*L57</f>
        <v>0</v>
      </c>
      <c r="W28" s="127">
        <v>2</v>
      </c>
      <c r="X28" s="95">
        <f>W28*O57</f>
        <v>0</v>
      </c>
    </row>
    <row r="29" spans="1:24">
      <c r="B29" s="94" t="s">
        <v>108</v>
      </c>
      <c r="C29" s="122">
        <f>(E29*E4)+(H29*H4)+(K29*K4)</f>
        <v>27.5</v>
      </c>
      <c r="D29" s="121"/>
      <c r="E29" s="127">
        <v>1</v>
      </c>
      <c r="F29" s="95">
        <f>E29*C57</f>
        <v>1.81</v>
      </c>
      <c r="H29" s="127">
        <v>0</v>
      </c>
      <c r="I29" s="95">
        <f>H29*C57</f>
        <v>0</v>
      </c>
      <c r="K29" s="127">
        <v>0.5</v>
      </c>
      <c r="L29" s="95">
        <f>K29*C57</f>
        <v>0.90500000000000003</v>
      </c>
      <c r="N29" s="127">
        <v>0.5</v>
      </c>
      <c r="O29" s="95">
        <f>N29*F57</f>
        <v>0</v>
      </c>
      <c r="Q29" s="127">
        <v>0.5</v>
      </c>
      <c r="R29" s="95">
        <f>Q29*I57</f>
        <v>0</v>
      </c>
      <c r="T29" s="127">
        <v>0.5</v>
      </c>
      <c r="U29" s="95">
        <f>T29*L57</f>
        <v>0</v>
      </c>
      <c r="W29" s="127">
        <v>0.5</v>
      </c>
      <c r="X29" s="95">
        <f>W29*O57</f>
        <v>0</v>
      </c>
    </row>
    <row r="30" spans="1:24">
      <c r="B30" s="94" t="s">
        <v>715</v>
      </c>
      <c r="C30" s="122">
        <f>(E30*E4)+(H30*H4)+(K30*K4)</f>
        <v>0</v>
      </c>
      <c r="D30" s="121"/>
      <c r="E30" s="127">
        <v>0</v>
      </c>
      <c r="F30" s="95">
        <f>E30*C57</f>
        <v>0</v>
      </c>
      <c r="H30" s="127">
        <v>0</v>
      </c>
      <c r="I30" s="95">
        <f>H30*C57</f>
        <v>0</v>
      </c>
      <c r="K30" s="127">
        <v>0</v>
      </c>
      <c r="L30" s="95">
        <f>K30*C57</f>
        <v>0</v>
      </c>
      <c r="N30" s="127">
        <v>0</v>
      </c>
      <c r="O30" s="95">
        <f>N30*F57</f>
        <v>0</v>
      </c>
      <c r="Q30" s="127">
        <v>0</v>
      </c>
      <c r="R30" s="95">
        <f>Q30*I57</f>
        <v>0</v>
      </c>
      <c r="T30" s="127">
        <v>0</v>
      </c>
      <c r="U30" s="95">
        <f>T30*L57</f>
        <v>0</v>
      </c>
      <c r="W30" s="127">
        <v>0</v>
      </c>
      <c r="X30" s="95">
        <f>W30*O57</f>
        <v>0</v>
      </c>
    </row>
    <row r="31" spans="1:24">
      <c r="B31" s="94" t="s">
        <v>105</v>
      </c>
      <c r="C31" s="122">
        <f>(E31*E4)+(H31*H4)+(K31*K4)</f>
        <v>7.5</v>
      </c>
      <c r="D31" s="121"/>
      <c r="E31" s="127">
        <v>0</v>
      </c>
      <c r="F31" s="95">
        <f>E31*C57</f>
        <v>0</v>
      </c>
      <c r="H31" s="127">
        <v>0</v>
      </c>
      <c r="I31" s="95">
        <f>H31*C57</f>
        <v>0</v>
      </c>
      <c r="K31" s="127">
        <v>0.5</v>
      </c>
      <c r="L31" s="95">
        <f>K31*C57</f>
        <v>0.90500000000000003</v>
      </c>
      <c r="N31" s="127">
        <v>0.5</v>
      </c>
      <c r="O31" s="95">
        <f>N31*F57</f>
        <v>0</v>
      </c>
      <c r="Q31" s="127">
        <v>0.5</v>
      </c>
      <c r="R31" s="95">
        <f>Q31*I57</f>
        <v>0</v>
      </c>
      <c r="T31" s="127">
        <v>0.5</v>
      </c>
      <c r="U31" s="95">
        <f>T31*L57</f>
        <v>0</v>
      </c>
      <c r="W31" s="127">
        <v>0.5</v>
      </c>
      <c r="X31" s="95">
        <f>W31*O57</f>
        <v>0</v>
      </c>
    </row>
    <row r="32" spans="1:24">
      <c r="B32" s="94" t="s">
        <v>716</v>
      </c>
      <c r="C32" s="122">
        <f>(E32*E4)+(H32*H4)+(K32*K4)</f>
        <v>0</v>
      </c>
      <c r="D32" s="121"/>
      <c r="E32" s="131">
        <v>0</v>
      </c>
      <c r="F32" s="99">
        <f>E32*C57</f>
        <v>0</v>
      </c>
      <c r="H32" s="131">
        <v>0</v>
      </c>
      <c r="I32" s="99">
        <f>H32*C57</f>
        <v>0</v>
      </c>
      <c r="K32" s="131">
        <v>0</v>
      </c>
      <c r="L32" s="99">
        <f>K32*C57</f>
        <v>0</v>
      </c>
      <c r="N32" s="131">
        <v>0</v>
      </c>
      <c r="O32" s="99">
        <f>N32*F57</f>
        <v>0</v>
      </c>
      <c r="Q32" s="131">
        <v>0</v>
      </c>
      <c r="R32" s="99">
        <f>Q32*I57</f>
        <v>0</v>
      </c>
      <c r="T32" s="131">
        <v>0</v>
      </c>
      <c r="U32" s="99">
        <f>T32*L57</f>
        <v>0</v>
      </c>
      <c r="W32" s="131">
        <v>0</v>
      </c>
      <c r="X32" s="99">
        <f>W32*O57</f>
        <v>0</v>
      </c>
    </row>
    <row r="33" spans="1:24">
      <c r="B33" s="94"/>
      <c r="C33" s="122"/>
      <c r="D33" s="121"/>
      <c r="E33" s="94"/>
      <c r="F33" s="95"/>
      <c r="H33" s="94"/>
      <c r="I33" s="95"/>
      <c r="K33" s="94"/>
      <c r="L33" s="95"/>
      <c r="N33" s="94"/>
      <c r="O33" s="95"/>
      <c r="Q33" s="94"/>
      <c r="R33" s="95"/>
      <c r="T33" s="94"/>
      <c r="U33" s="95"/>
      <c r="W33" s="94"/>
      <c r="X33" s="95"/>
    </row>
    <row r="34" spans="1:24">
      <c r="A34" s="113"/>
      <c r="B34" s="116" t="s">
        <v>717</v>
      </c>
      <c r="C34" s="122"/>
      <c r="D34" s="121"/>
      <c r="E34" s="133" t="s">
        <v>705</v>
      </c>
      <c r="F34" s="130" t="s">
        <v>706</v>
      </c>
      <c r="G34" s="119"/>
      <c r="H34" s="133" t="s">
        <v>705</v>
      </c>
      <c r="I34" s="130" t="s">
        <v>706</v>
      </c>
      <c r="J34" s="119"/>
      <c r="K34" s="133" t="s">
        <v>705</v>
      </c>
      <c r="L34" s="130" t="s">
        <v>706</v>
      </c>
      <c r="N34" s="133" t="s">
        <v>705</v>
      </c>
      <c r="O34" s="130" t="s">
        <v>706</v>
      </c>
      <c r="Q34" s="133" t="s">
        <v>705</v>
      </c>
      <c r="R34" s="130" t="s">
        <v>706</v>
      </c>
      <c r="T34" s="133" t="s">
        <v>705</v>
      </c>
      <c r="U34" s="130" t="s">
        <v>706</v>
      </c>
      <c r="W34" s="133" t="s">
        <v>705</v>
      </c>
      <c r="X34" s="130" t="s">
        <v>706</v>
      </c>
    </row>
    <row r="35" spans="1:24">
      <c r="B35" s="94" t="s">
        <v>125</v>
      </c>
      <c r="C35" s="122">
        <f>(E35*E4)+(H35*H4)+(K35*K4)</f>
        <v>0</v>
      </c>
      <c r="D35" s="121"/>
      <c r="E35" s="127">
        <v>0</v>
      </c>
      <c r="F35" s="95">
        <f>E35*C58</f>
        <v>0</v>
      </c>
      <c r="H35" s="127">
        <v>0</v>
      </c>
      <c r="I35" s="95">
        <f>H35*C58</f>
        <v>0</v>
      </c>
      <c r="K35" s="127">
        <v>0</v>
      </c>
      <c r="L35" s="95">
        <f>K35*C58</f>
        <v>0</v>
      </c>
      <c r="N35" s="127">
        <v>0</v>
      </c>
      <c r="O35" s="95">
        <f>N35*F58</f>
        <v>0</v>
      </c>
      <c r="Q35" s="127">
        <v>0</v>
      </c>
      <c r="R35" s="95">
        <f>Q35*I58</f>
        <v>0</v>
      </c>
      <c r="T35" s="127">
        <v>0</v>
      </c>
      <c r="U35" s="95">
        <f>T35*L58</f>
        <v>0</v>
      </c>
      <c r="W35" s="127">
        <v>0</v>
      </c>
      <c r="X35" s="95">
        <f>W35*O58</f>
        <v>0</v>
      </c>
    </row>
    <row r="36" spans="1:24">
      <c r="B36" s="94" t="s">
        <v>117</v>
      </c>
      <c r="C36" s="122">
        <f>(E36*E4)+(H36*H4)+(K36*K4)</f>
        <v>10</v>
      </c>
      <c r="D36" s="121"/>
      <c r="E36" s="127">
        <v>0.5</v>
      </c>
      <c r="F36" s="95">
        <f>E36*C58</f>
        <v>0.83499999999999996</v>
      </c>
      <c r="H36" s="127">
        <v>0</v>
      </c>
      <c r="I36" s="95">
        <f>H36*C58</f>
        <v>0</v>
      </c>
      <c r="K36" s="127">
        <v>0</v>
      </c>
      <c r="L36" s="95">
        <f>K36*C58</f>
        <v>0</v>
      </c>
      <c r="N36" s="127">
        <v>0</v>
      </c>
      <c r="O36" s="95">
        <f>N36*F58</f>
        <v>0</v>
      </c>
      <c r="Q36" s="127">
        <v>0</v>
      </c>
      <c r="R36" s="95">
        <f>Q36*I58</f>
        <v>0</v>
      </c>
      <c r="T36" s="127">
        <v>0</v>
      </c>
      <c r="U36" s="95">
        <f>T36*L58</f>
        <v>0</v>
      </c>
      <c r="W36" s="127">
        <v>0</v>
      </c>
      <c r="X36" s="95">
        <f>W36*O58</f>
        <v>0</v>
      </c>
    </row>
    <row r="37" spans="1:24">
      <c r="B37" s="94" t="s">
        <v>107</v>
      </c>
      <c r="C37" s="122">
        <f>(E37*E4)+(H37*H4)+(K37+K4)</f>
        <v>41</v>
      </c>
      <c r="D37" s="121"/>
      <c r="E37" s="127">
        <v>0.5</v>
      </c>
      <c r="F37" s="95">
        <f>E37*C58</f>
        <v>0.83499999999999996</v>
      </c>
      <c r="H37" s="127">
        <v>1</v>
      </c>
      <c r="I37" s="95">
        <f>H37*C58</f>
        <v>1.67</v>
      </c>
      <c r="K37" s="127">
        <v>1</v>
      </c>
      <c r="L37" s="95">
        <f>K37*C58</f>
        <v>1.67</v>
      </c>
      <c r="N37" s="127">
        <v>1</v>
      </c>
      <c r="O37" s="95">
        <f>N37*F58</f>
        <v>0</v>
      </c>
      <c r="Q37" s="127">
        <v>1</v>
      </c>
      <c r="R37" s="95">
        <f>Q37*I58</f>
        <v>0</v>
      </c>
      <c r="T37" s="127">
        <v>1</v>
      </c>
      <c r="U37" s="95">
        <f>T37*L58</f>
        <v>0</v>
      </c>
      <c r="W37" s="127">
        <v>1</v>
      </c>
      <c r="X37" s="95">
        <f>W37*O58</f>
        <v>0</v>
      </c>
    </row>
    <row r="38" spans="1:24">
      <c r="B38" s="94" t="s">
        <v>367</v>
      </c>
      <c r="C38" s="122">
        <f>(E38*E4)+(H38*H4)+(K38*K4)</f>
        <v>0</v>
      </c>
      <c r="D38" s="121"/>
      <c r="E38" s="127">
        <v>0</v>
      </c>
      <c r="F38" s="95">
        <f>E38*C58</f>
        <v>0</v>
      </c>
      <c r="H38" s="127">
        <v>0</v>
      </c>
      <c r="I38" s="95">
        <f>H38*C58</f>
        <v>0</v>
      </c>
      <c r="K38" s="127">
        <v>0</v>
      </c>
      <c r="L38" s="95">
        <f>K38*C58</f>
        <v>0</v>
      </c>
      <c r="N38" s="127">
        <v>0</v>
      </c>
      <c r="O38" s="95">
        <f>N38*F58</f>
        <v>0</v>
      </c>
      <c r="Q38" s="127">
        <v>0</v>
      </c>
      <c r="R38" s="95">
        <f>Q38*I58</f>
        <v>0</v>
      </c>
      <c r="T38" s="127">
        <v>0</v>
      </c>
      <c r="U38" s="95">
        <f>T38*L58</f>
        <v>0</v>
      </c>
      <c r="W38" s="127">
        <v>0</v>
      </c>
      <c r="X38" s="95">
        <f>W38*O58</f>
        <v>0</v>
      </c>
    </row>
    <row r="39" spans="1:24">
      <c r="B39" s="94" t="s">
        <v>718</v>
      </c>
      <c r="C39" s="122">
        <f>(E39*E4)+(H39*H4)+(K39*K4)</f>
        <v>0</v>
      </c>
      <c r="D39" s="121"/>
      <c r="E39" s="127">
        <v>0</v>
      </c>
      <c r="F39" s="95">
        <f>E39*C58</f>
        <v>0</v>
      </c>
      <c r="H39" s="127">
        <v>0</v>
      </c>
      <c r="I39" s="95">
        <f>H39*C58</f>
        <v>0</v>
      </c>
      <c r="K39" s="127">
        <v>0</v>
      </c>
      <c r="L39" s="95">
        <f>K39*C58</f>
        <v>0</v>
      </c>
      <c r="N39" s="127">
        <v>0</v>
      </c>
      <c r="O39" s="95">
        <f>N39*F58</f>
        <v>0</v>
      </c>
      <c r="Q39" s="127">
        <v>0</v>
      </c>
      <c r="R39" s="95">
        <f>Q39*I58</f>
        <v>0</v>
      </c>
      <c r="T39" s="127">
        <v>0</v>
      </c>
      <c r="U39" s="95">
        <f>T39*L58</f>
        <v>0</v>
      </c>
      <c r="W39" s="127">
        <v>0</v>
      </c>
      <c r="X39" s="95">
        <f>W39*O58</f>
        <v>0</v>
      </c>
    </row>
    <row r="40" spans="1:24">
      <c r="B40" s="94" t="s">
        <v>692</v>
      </c>
      <c r="C40" s="122">
        <f>(E40*E4)+(H40*H4)+(K40*K4)</f>
        <v>30</v>
      </c>
      <c r="D40" s="121"/>
      <c r="E40" s="127">
        <v>0</v>
      </c>
      <c r="F40" s="95">
        <f>E40*C58</f>
        <v>0</v>
      </c>
      <c r="H40" s="127">
        <v>1</v>
      </c>
      <c r="I40" s="95">
        <f>H40*C58</f>
        <v>1.67</v>
      </c>
      <c r="K40" s="127">
        <v>1</v>
      </c>
      <c r="L40" s="95">
        <f>K40*C58</f>
        <v>1.67</v>
      </c>
      <c r="N40" s="127">
        <v>1</v>
      </c>
      <c r="O40" s="95">
        <f>N40*F58</f>
        <v>0</v>
      </c>
      <c r="Q40" s="127">
        <v>1</v>
      </c>
      <c r="R40" s="95">
        <f>Q40*I58</f>
        <v>0</v>
      </c>
      <c r="T40" s="127">
        <v>1</v>
      </c>
      <c r="U40" s="95">
        <f>T40*L58</f>
        <v>0</v>
      </c>
      <c r="W40" s="127">
        <v>1</v>
      </c>
      <c r="X40" s="95">
        <f>W40*O58</f>
        <v>0</v>
      </c>
    </row>
    <row r="41" spans="1:24">
      <c r="B41" s="94" t="s">
        <v>719</v>
      </c>
      <c r="C41" s="122">
        <f>(E41*E4)+(H41*H4)+(K41*K4)</f>
        <v>0</v>
      </c>
      <c r="D41" s="121"/>
      <c r="E41" s="127">
        <v>0</v>
      </c>
      <c r="F41" s="95">
        <f>E41*C58</f>
        <v>0</v>
      </c>
      <c r="H41" s="127">
        <v>0</v>
      </c>
      <c r="I41" s="95">
        <f>H41*C58</f>
        <v>0</v>
      </c>
      <c r="K41" s="127">
        <v>0</v>
      </c>
      <c r="L41" s="95">
        <f>K41*C58</f>
        <v>0</v>
      </c>
      <c r="N41" s="127">
        <v>0</v>
      </c>
      <c r="O41" s="95">
        <f>N41*F58</f>
        <v>0</v>
      </c>
      <c r="Q41" s="127">
        <v>0</v>
      </c>
      <c r="R41" s="95">
        <f>Q41*I58</f>
        <v>0</v>
      </c>
      <c r="T41" s="127">
        <v>0</v>
      </c>
      <c r="U41" s="95">
        <f>T41*L58</f>
        <v>0</v>
      </c>
      <c r="W41" s="127">
        <v>0</v>
      </c>
      <c r="X41" s="95">
        <f>W41*O58</f>
        <v>0</v>
      </c>
    </row>
    <row r="42" spans="1:24">
      <c r="B42" s="94" t="s">
        <v>82</v>
      </c>
      <c r="C42" s="122">
        <f>(E42*E4)+(H42*H4)+(K42*K4)</f>
        <v>0</v>
      </c>
      <c r="D42" s="121"/>
      <c r="E42" s="127">
        <v>0</v>
      </c>
      <c r="F42" s="95">
        <f>E42*C58</f>
        <v>0</v>
      </c>
      <c r="H42" s="127">
        <v>0</v>
      </c>
      <c r="I42" s="95">
        <f>H42*C58</f>
        <v>0</v>
      </c>
      <c r="K42" s="127">
        <v>0</v>
      </c>
      <c r="L42" s="95">
        <f>K42*C58</f>
        <v>0</v>
      </c>
      <c r="N42" s="127">
        <v>0</v>
      </c>
      <c r="O42" s="95">
        <f>N42*F58</f>
        <v>0</v>
      </c>
      <c r="Q42" s="127">
        <v>0</v>
      </c>
      <c r="R42" s="95">
        <f>Q42*I58</f>
        <v>0</v>
      </c>
      <c r="T42" s="127">
        <v>0</v>
      </c>
      <c r="U42" s="95">
        <f>T42*L58</f>
        <v>0</v>
      </c>
      <c r="W42" s="127">
        <v>0</v>
      </c>
      <c r="X42" s="95">
        <f>W42*O58</f>
        <v>0</v>
      </c>
    </row>
    <row r="43" spans="1:24">
      <c r="B43" s="94" t="s">
        <v>88</v>
      </c>
      <c r="C43" s="122">
        <f>(E43*E4)+(H43*H4)+(K43*K4)</f>
        <v>0</v>
      </c>
      <c r="D43" s="121"/>
      <c r="E43" s="131">
        <v>0</v>
      </c>
      <c r="F43" s="99">
        <f>E43*C58</f>
        <v>0</v>
      </c>
      <c r="H43" s="131">
        <v>0</v>
      </c>
      <c r="I43" s="99">
        <f>H43*C58</f>
        <v>0</v>
      </c>
      <c r="K43" s="131">
        <v>0</v>
      </c>
      <c r="L43" s="99">
        <f>K43*C58</f>
        <v>0</v>
      </c>
      <c r="N43" s="131">
        <v>0</v>
      </c>
      <c r="O43" s="99">
        <f>N43*F58</f>
        <v>0</v>
      </c>
      <c r="Q43" s="131">
        <v>0</v>
      </c>
      <c r="R43" s="99">
        <f>Q43*I58</f>
        <v>0</v>
      </c>
      <c r="T43" s="131">
        <v>0</v>
      </c>
      <c r="U43" s="99">
        <f>T43*L58</f>
        <v>0</v>
      </c>
      <c r="W43" s="131">
        <v>0</v>
      </c>
      <c r="X43" s="99">
        <f>W43*O58</f>
        <v>0</v>
      </c>
    </row>
    <row r="44" spans="1:24">
      <c r="B44" s="94"/>
      <c r="C44" s="122"/>
      <c r="D44" s="121"/>
      <c r="E44" s="94"/>
      <c r="F44" s="95"/>
      <c r="H44" s="94"/>
      <c r="I44" s="95"/>
      <c r="K44" s="94"/>
      <c r="L44" s="95"/>
      <c r="N44" s="94"/>
      <c r="O44" s="95"/>
      <c r="Q44" s="94"/>
      <c r="R44" s="95"/>
      <c r="T44" s="94"/>
      <c r="U44" s="95"/>
      <c r="W44" s="94"/>
      <c r="X44" s="95"/>
    </row>
    <row r="45" spans="1:24">
      <c r="A45" s="113"/>
      <c r="B45" s="116" t="s">
        <v>720</v>
      </c>
      <c r="C45" s="122"/>
      <c r="D45" s="121"/>
      <c r="E45" s="133" t="s">
        <v>705</v>
      </c>
      <c r="F45" s="130" t="s">
        <v>706</v>
      </c>
      <c r="G45" s="119"/>
      <c r="H45" s="133" t="s">
        <v>705</v>
      </c>
      <c r="I45" s="130" t="s">
        <v>706</v>
      </c>
      <c r="J45" s="119"/>
      <c r="K45" s="133" t="s">
        <v>705</v>
      </c>
      <c r="L45" s="130" t="s">
        <v>706</v>
      </c>
      <c r="N45" s="133" t="s">
        <v>705</v>
      </c>
      <c r="O45" s="130" t="s">
        <v>706</v>
      </c>
      <c r="Q45" s="133" t="s">
        <v>705</v>
      </c>
      <c r="R45" s="130" t="s">
        <v>706</v>
      </c>
      <c r="T45" s="133" t="s">
        <v>705</v>
      </c>
      <c r="U45" s="130" t="s">
        <v>706</v>
      </c>
      <c r="W45" s="133" t="s">
        <v>705</v>
      </c>
      <c r="X45" s="130" t="s">
        <v>706</v>
      </c>
    </row>
    <row r="46" spans="1:24">
      <c r="A46" s="114"/>
      <c r="B46" s="118" t="s">
        <v>138</v>
      </c>
      <c r="C46" s="122">
        <f>(E46*E4)+(H46*H4)+(K46*K4)</f>
        <v>70</v>
      </c>
      <c r="D46" s="121"/>
      <c r="E46" s="127">
        <v>2</v>
      </c>
      <c r="F46" s="95">
        <f>E46*C59</f>
        <v>4.54</v>
      </c>
      <c r="H46" s="127">
        <v>2</v>
      </c>
      <c r="I46" s="95">
        <f>H46*C59</f>
        <v>4.54</v>
      </c>
      <c r="K46" s="127">
        <v>0</v>
      </c>
      <c r="L46" s="95">
        <f>K46*C59</f>
        <v>0</v>
      </c>
      <c r="N46" s="127">
        <v>0</v>
      </c>
      <c r="O46" s="95">
        <f>N46*F59</f>
        <v>0</v>
      </c>
      <c r="Q46" s="127">
        <v>0</v>
      </c>
      <c r="R46" s="95">
        <f>Q46*I59</f>
        <v>0</v>
      </c>
      <c r="T46" s="127">
        <v>0</v>
      </c>
      <c r="U46" s="95">
        <f>T46*L59</f>
        <v>0</v>
      </c>
      <c r="W46" s="127">
        <v>0</v>
      </c>
      <c r="X46" s="95">
        <f>W46*O59</f>
        <v>0</v>
      </c>
    </row>
    <row r="47" spans="1:24">
      <c r="B47" s="94" t="s">
        <v>132</v>
      </c>
      <c r="C47" s="122">
        <f>(E47*E4)+(H47*H4)+(K47*K4)</f>
        <v>35</v>
      </c>
      <c r="D47" s="121"/>
      <c r="E47" s="127">
        <v>1</v>
      </c>
      <c r="F47" s="95">
        <f>E47*C59</f>
        <v>2.27</v>
      </c>
      <c r="H47" s="127">
        <v>0</v>
      </c>
      <c r="I47" s="95">
        <f>H47*C59</f>
        <v>0</v>
      </c>
      <c r="K47" s="127">
        <v>1</v>
      </c>
      <c r="L47" s="95">
        <f>K47*C59</f>
        <v>2.27</v>
      </c>
      <c r="N47" s="127">
        <v>1</v>
      </c>
      <c r="O47" s="95">
        <f>N47*F59</f>
        <v>0</v>
      </c>
      <c r="Q47" s="127">
        <v>1</v>
      </c>
      <c r="R47" s="95">
        <f>Q47*I59</f>
        <v>0</v>
      </c>
      <c r="T47" s="127">
        <v>1</v>
      </c>
      <c r="U47" s="95">
        <f>T47*L59</f>
        <v>0</v>
      </c>
      <c r="W47" s="127">
        <v>1</v>
      </c>
      <c r="X47" s="95">
        <f>W47*O59</f>
        <v>0</v>
      </c>
    </row>
    <row r="48" spans="1:24">
      <c r="B48" s="94" t="s">
        <v>139</v>
      </c>
      <c r="C48" s="122">
        <f>(E48*E4)+(H48*H4)+(K48*K4)</f>
        <v>30</v>
      </c>
      <c r="D48" s="121"/>
      <c r="E48" s="127">
        <v>0</v>
      </c>
      <c r="F48" s="95">
        <f>E48*C59</f>
        <v>0</v>
      </c>
      <c r="H48" s="127">
        <v>1</v>
      </c>
      <c r="I48" s="95">
        <f>H48*C59</f>
        <v>2.27</v>
      </c>
      <c r="K48" s="127">
        <v>1</v>
      </c>
      <c r="L48" s="95">
        <f>K48*C59</f>
        <v>2.27</v>
      </c>
      <c r="N48" s="127">
        <v>1</v>
      </c>
      <c r="O48" s="95">
        <f>N48*F59</f>
        <v>0</v>
      </c>
      <c r="Q48" s="127">
        <v>1</v>
      </c>
      <c r="R48" s="95">
        <f>Q48*I59</f>
        <v>0</v>
      </c>
      <c r="T48" s="127">
        <v>1</v>
      </c>
      <c r="U48" s="95">
        <f>T48*L59</f>
        <v>0</v>
      </c>
      <c r="W48" s="127">
        <v>1</v>
      </c>
      <c r="X48" s="95">
        <f>W48*O59</f>
        <v>0</v>
      </c>
    </row>
    <row r="49" spans="2:24">
      <c r="B49" s="96" t="s">
        <v>136</v>
      </c>
      <c r="C49" s="123">
        <f>(E49*E4)+(H49*H4)+(K49*K4)</f>
        <v>15</v>
      </c>
      <c r="D49" s="121"/>
      <c r="E49" s="131">
        <v>0</v>
      </c>
      <c r="F49" s="99">
        <f>E49*C59</f>
        <v>0</v>
      </c>
      <c r="H49" s="131">
        <v>0</v>
      </c>
      <c r="I49" s="99">
        <f>H49*C59</f>
        <v>0</v>
      </c>
      <c r="K49" s="131">
        <v>1</v>
      </c>
      <c r="L49" s="99">
        <f>K49*C59</f>
        <v>2.27</v>
      </c>
      <c r="N49" s="131">
        <v>1</v>
      </c>
      <c r="O49" s="99">
        <f>N49*F59</f>
        <v>0</v>
      </c>
      <c r="Q49" s="131">
        <v>1</v>
      </c>
      <c r="R49" s="99">
        <f>Q49*I59</f>
        <v>0</v>
      </c>
      <c r="T49" s="131">
        <v>1</v>
      </c>
      <c r="U49" s="99">
        <f>T49*L59</f>
        <v>0</v>
      </c>
      <c r="W49" s="131">
        <v>1</v>
      </c>
      <c r="X49" s="99">
        <f>W49*O59</f>
        <v>0</v>
      </c>
    </row>
    <row r="52" spans="2:24" ht="19">
      <c r="B52" s="281" t="s">
        <v>721</v>
      </c>
      <c r="C52" s="282"/>
    </row>
    <row r="53" spans="2:24">
      <c r="B53" s="116" t="s">
        <v>5</v>
      </c>
      <c r="C53" s="117" t="s">
        <v>722</v>
      </c>
    </row>
    <row r="54" spans="2:24">
      <c r="B54" s="94" t="s">
        <v>143</v>
      </c>
      <c r="C54" s="134">
        <v>3.12</v>
      </c>
    </row>
    <row r="55" spans="2:24">
      <c r="B55" s="94" t="s">
        <v>145</v>
      </c>
      <c r="C55" s="134">
        <v>2.1800000000000002</v>
      </c>
    </row>
    <row r="56" spans="2:24">
      <c r="B56" s="94" t="s">
        <v>144</v>
      </c>
      <c r="C56" s="134">
        <v>2.4700000000000002</v>
      </c>
    </row>
    <row r="57" spans="2:24">
      <c r="B57" s="94" t="s">
        <v>682</v>
      </c>
      <c r="C57" s="134">
        <v>1.81</v>
      </c>
    </row>
    <row r="58" spans="2:24">
      <c r="B58" s="94" t="s">
        <v>687</v>
      </c>
      <c r="C58" s="134">
        <v>1.67</v>
      </c>
    </row>
    <row r="59" spans="2:24">
      <c r="B59" s="96" t="s">
        <v>684</v>
      </c>
      <c r="C59" s="135">
        <v>2.27</v>
      </c>
    </row>
    <row r="61" spans="2:24" ht="19">
      <c r="B61" s="276"/>
      <c r="C61" s="276"/>
    </row>
    <row r="62" spans="2:24">
      <c r="B62" s="76"/>
      <c r="C62" s="76"/>
    </row>
  </sheetData>
  <mergeCells count="10">
    <mergeCell ref="N2:O2"/>
    <mergeCell ref="Q2:R2"/>
    <mergeCell ref="T2:U2"/>
    <mergeCell ref="W2:X2"/>
    <mergeCell ref="K2:L2"/>
    <mergeCell ref="B52:C52"/>
    <mergeCell ref="B61:C61"/>
    <mergeCell ref="E2:F2"/>
    <mergeCell ref="B2:C3"/>
    <mergeCell ref="H2:I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D6A7-23DB-604F-9EC7-FD4A41E82EA4}">
  <sheetPr codeName="Sheet13"/>
  <dimension ref="A1:H7"/>
  <sheetViews>
    <sheetView workbookViewId="0">
      <selection activeCell="D2" sqref="D2"/>
    </sheetView>
  </sheetViews>
  <sheetFormatPr baseColWidth="10" defaultColWidth="10.83203125" defaultRowHeight="16"/>
  <cols>
    <col min="1" max="1" width="22.83203125" style="69" customWidth="1"/>
    <col min="2" max="2" width="40.5" style="71" customWidth="1"/>
    <col min="3" max="3" width="24.5" style="71" customWidth="1"/>
    <col min="4" max="4" width="29.83203125" style="71" customWidth="1"/>
    <col min="5" max="8" width="10.83203125" style="69"/>
    <col min="9" max="16384" width="10.83203125" style="66"/>
  </cols>
  <sheetData>
    <row r="1" spans="1:8" s="65" customFormat="1" ht="27">
      <c r="A1" s="67"/>
      <c r="B1" s="70" t="s">
        <v>725</v>
      </c>
      <c r="C1" s="70" t="s">
        <v>726</v>
      </c>
      <c r="D1" s="70" t="s">
        <v>727</v>
      </c>
      <c r="E1" s="67"/>
      <c r="F1" s="67"/>
      <c r="G1" s="67"/>
      <c r="H1" s="67"/>
    </row>
    <row r="2" spans="1:8" ht="85">
      <c r="A2" s="68" t="s">
        <v>554</v>
      </c>
      <c r="B2" s="71" t="s">
        <v>728</v>
      </c>
      <c r="C2" s="71" t="s">
        <v>729</v>
      </c>
      <c r="D2" s="71" t="s">
        <v>730</v>
      </c>
    </row>
    <row r="3" spans="1:8" ht="68">
      <c r="A3" s="68" t="s">
        <v>731</v>
      </c>
      <c r="B3" s="71" t="s">
        <v>732</v>
      </c>
      <c r="C3" s="71" t="s">
        <v>733</v>
      </c>
    </row>
    <row r="4" spans="1:8" ht="51">
      <c r="A4" s="68" t="s">
        <v>734</v>
      </c>
      <c r="B4" s="71" t="s">
        <v>735</v>
      </c>
      <c r="C4" s="71" t="s">
        <v>736</v>
      </c>
    </row>
    <row r="5" spans="1:8" ht="85">
      <c r="A5" s="68" t="s">
        <v>145</v>
      </c>
      <c r="B5" s="71" t="s">
        <v>737</v>
      </c>
      <c r="C5" s="71" t="s">
        <v>736</v>
      </c>
    </row>
    <row r="6" spans="1:8" ht="51">
      <c r="A6" s="68" t="s">
        <v>738</v>
      </c>
      <c r="B6" s="71" t="s">
        <v>739</v>
      </c>
      <c r="C6" s="71" t="s">
        <v>740</v>
      </c>
    </row>
    <row r="7" spans="1:8" ht="68">
      <c r="A7" s="68" t="s">
        <v>148</v>
      </c>
      <c r="B7" s="71" t="s">
        <v>741</v>
      </c>
      <c r="C7" s="71" t="s">
        <v>742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5CEF-4592-924F-855B-E42E17B7CE26}">
  <sheetPr codeName="Sheet14"/>
  <dimension ref="A1:Z63"/>
  <sheetViews>
    <sheetView topLeftCell="B1" workbookViewId="0">
      <selection activeCell="B10" sqref="B10"/>
    </sheetView>
  </sheetViews>
  <sheetFormatPr baseColWidth="10" defaultColWidth="10.83203125" defaultRowHeight="16"/>
  <cols>
    <col min="1" max="1" width="20.83203125" style="7" customWidth="1"/>
    <col min="2" max="2" width="10.33203125" style="8" customWidth="1"/>
    <col min="3" max="6" width="10" style="8" customWidth="1"/>
    <col min="7" max="7" width="10.83203125" style="36"/>
    <col min="8" max="8" width="19.1640625" style="22" customWidth="1"/>
    <col min="9" max="11" width="10.83203125" style="10"/>
    <col min="12" max="14" width="10.83203125" style="11"/>
    <col min="15" max="17" width="10.83203125" style="12"/>
    <col min="18" max="20" width="10.83203125" style="43"/>
    <col min="22" max="22" width="19.1640625" style="22" customWidth="1"/>
    <col min="23" max="25" width="10.83203125" style="7"/>
    <col min="26" max="26" width="11" customWidth="1"/>
    <col min="27" max="16384" width="10.83203125" style="7"/>
  </cols>
  <sheetData>
    <row r="1" spans="1:26" s="1" customFormat="1" ht="85" customHeight="1">
      <c r="A1" s="1" t="s">
        <v>6</v>
      </c>
      <c r="B1" s="2" t="s">
        <v>743</v>
      </c>
      <c r="C1" s="2" t="s">
        <v>744</v>
      </c>
      <c r="D1" s="2" t="s">
        <v>745</v>
      </c>
      <c r="E1" s="2" t="s">
        <v>746</v>
      </c>
      <c r="F1" s="2" t="s">
        <v>747</v>
      </c>
      <c r="G1" s="34" t="s">
        <v>748</v>
      </c>
      <c r="I1" s="4" t="s">
        <v>749</v>
      </c>
      <c r="J1" s="4" t="s">
        <v>750</v>
      </c>
      <c r="K1" s="4" t="s">
        <v>751</v>
      </c>
      <c r="L1" s="5" t="s">
        <v>752</v>
      </c>
      <c r="M1" s="5" t="s">
        <v>753</v>
      </c>
      <c r="N1" s="5" t="s">
        <v>754</v>
      </c>
      <c r="O1" s="6" t="s">
        <v>755</v>
      </c>
      <c r="P1" s="6" t="s">
        <v>753</v>
      </c>
      <c r="Q1" s="6" t="s">
        <v>756</v>
      </c>
      <c r="R1" s="64" t="s">
        <v>757</v>
      </c>
      <c r="S1" s="64" t="s">
        <v>758</v>
      </c>
      <c r="T1" s="64" t="s">
        <v>759</v>
      </c>
      <c r="U1" s="1" t="s">
        <v>760</v>
      </c>
      <c r="V1" s="1" t="s">
        <v>761</v>
      </c>
    </row>
    <row r="2" spans="1:26" s="49" customFormat="1" ht="19">
      <c r="A2" s="44" t="s">
        <v>762</v>
      </c>
      <c r="B2" s="51">
        <v>0.5</v>
      </c>
      <c r="C2" s="45"/>
      <c r="D2" s="45"/>
      <c r="E2" s="45"/>
      <c r="F2" s="45"/>
      <c r="G2" s="47"/>
      <c r="H2" s="46" t="s">
        <v>763</v>
      </c>
      <c r="I2" s="298">
        <v>15</v>
      </c>
      <c r="J2" s="299"/>
      <c r="K2" s="300"/>
      <c r="L2" s="301">
        <v>8</v>
      </c>
      <c r="M2" s="302"/>
      <c r="N2" s="303"/>
      <c r="O2" s="304">
        <v>30</v>
      </c>
      <c r="P2" s="305"/>
      <c r="Q2" s="306"/>
      <c r="R2" s="283">
        <v>5</v>
      </c>
      <c r="S2" s="284"/>
      <c r="T2" s="285"/>
      <c r="U2" s="48">
        <v>0</v>
      </c>
      <c r="V2" s="46"/>
      <c r="W2" s="48">
        <v>0</v>
      </c>
      <c r="X2" s="48">
        <v>0</v>
      </c>
      <c r="Y2" s="48">
        <v>0</v>
      </c>
    </row>
    <row r="3" spans="1:26" s="49" customFormat="1" ht="19">
      <c r="A3" s="44" t="s">
        <v>157</v>
      </c>
      <c r="B3" s="51"/>
      <c r="C3" s="45"/>
      <c r="D3" s="45"/>
      <c r="E3" s="45"/>
      <c r="F3" s="289" t="e">
        <f>AVERAGE(B4:B9)</f>
        <v>#DIV/0!</v>
      </c>
      <c r="G3" s="47"/>
      <c r="H3" s="46"/>
      <c r="I3" s="216"/>
      <c r="J3" s="217"/>
      <c r="K3" s="218"/>
      <c r="L3" s="219"/>
      <c r="M3" s="220"/>
      <c r="N3" s="221"/>
      <c r="O3" s="222"/>
      <c r="P3" s="223"/>
      <c r="Q3" s="224"/>
      <c r="R3" s="213"/>
      <c r="S3" s="214"/>
      <c r="T3" s="215"/>
      <c r="U3" s="48"/>
      <c r="V3" s="46"/>
      <c r="W3" s="48"/>
      <c r="X3" s="48"/>
      <c r="Y3" s="48"/>
      <c r="Z3" s="58"/>
    </row>
    <row r="4" spans="1:26">
      <c r="A4" s="7" t="s">
        <v>764</v>
      </c>
      <c r="B4" s="8" t="e">
        <f t="shared" ref="B4:B6" si="0">C4*(1+$B$2)</f>
        <v>#DIV/0!</v>
      </c>
      <c r="C4" s="8" t="e">
        <f>AVERAGE(D4:E4)</f>
        <v>#DIV/0!</v>
      </c>
      <c r="F4" s="290"/>
      <c r="G4" s="36" t="e">
        <f>(I4*$I$2)+(L4*$L$2)+(O4*$O$2)+(R4*$R$2)+(U4*$U$2)+(V4*$V$2)+(W4*$W$2)+(X4*$X$2)+(Y4*$Y$2)</f>
        <v>#VALUE!</v>
      </c>
      <c r="J4" s="15" t="e">
        <f>I4*C4</f>
        <v>#DIV/0!</v>
      </c>
      <c r="K4" s="15" t="e">
        <f>I4*B4</f>
        <v>#DIV/0!</v>
      </c>
      <c r="M4" s="16" t="e">
        <f>L4*C4</f>
        <v>#DIV/0!</v>
      </c>
      <c r="N4" s="16" t="e">
        <f>L4*B4</f>
        <v>#DIV/0!</v>
      </c>
      <c r="P4" s="17" t="e">
        <f>O4*C4</f>
        <v>#DIV/0!</v>
      </c>
      <c r="Q4" s="17" t="e">
        <f>O4*B4</f>
        <v>#DIV/0!</v>
      </c>
      <c r="R4" s="39"/>
      <c r="S4" s="38" t="e">
        <f>R4*C4</f>
        <v>#DIV/0!</v>
      </c>
      <c r="T4" s="38" t="e">
        <f>R4*B4</f>
        <v>#DIV/0!</v>
      </c>
      <c r="U4" s="7">
        <v>20</v>
      </c>
      <c r="V4" s="22" t="s">
        <v>765</v>
      </c>
    </row>
    <row r="5" spans="1:26">
      <c r="A5" s="7" t="s">
        <v>766</v>
      </c>
      <c r="B5" s="8" t="e">
        <f t="shared" si="0"/>
        <v>#DIV/0!</v>
      </c>
      <c r="C5" s="8" t="e">
        <f>AVERAGE(D5:E5)</f>
        <v>#DIV/0!</v>
      </c>
      <c r="F5" s="290"/>
      <c r="G5" s="36" t="e">
        <f t="shared" ref="G5:G52" si="1">(I5*$I$2)+(L5*$L$2)+(O5*$O$2)+(R5*$R$2)+(U5*$U$2)+(V5*$V$2)+(W5*$W$2)+(X5*$X$2)+(Y5*$Y$2)</f>
        <v>#VALUE!</v>
      </c>
      <c r="J5" s="15" t="e">
        <f>I5*C5</f>
        <v>#DIV/0!</v>
      </c>
      <c r="K5" s="15" t="e">
        <f>I5*B5</f>
        <v>#DIV/0!</v>
      </c>
      <c r="M5" s="16" t="e">
        <f>L5*C5</f>
        <v>#DIV/0!</v>
      </c>
      <c r="N5" s="16" t="e">
        <f>L5*B5</f>
        <v>#DIV/0!</v>
      </c>
      <c r="P5" s="17" t="e">
        <f>O5*C5</f>
        <v>#DIV/0!</v>
      </c>
      <c r="Q5" s="17" t="e">
        <f>O5*B5</f>
        <v>#DIV/0!</v>
      </c>
      <c r="R5" s="39"/>
      <c r="S5" s="38" t="e">
        <f>R5*C5</f>
        <v>#DIV/0!</v>
      </c>
      <c r="T5" s="38" t="e">
        <f>R5*B5</f>
        <v>#DIV/0!</v>
      </c>
      <c r="U5" s="7"/>
      <c r="V5" s="22" t="s">
        <v>765</v>
      </c>
    </row>
    <row r="6" spans="1:26">
      <c r="A6" s="7" t="s">
        <v>767</v>
      </c>
      <c r="B6" s="8" t="e">
        <f t="shared" si="0"/>
        <v>#DIV/0!</v>
      </c>
      <c r="C6" s="8" t="e">
        <f>AVERAGE(D6:E6)</f>
        <v>#DIV/0!</v>
      </c>
      <c r="F6" s="290"/>
      <c r="G6" s="36" t="e">
        <f t="shared" si="1"/>
        <v>#VALUE!</v>
      </c>
      <c r="J6" s="15" t="e">
        <f>I6*C6</f>
        <v>#DIV/0!</v>
      </c>
      <c r="K6" s="15" t="e">
        <f>I6*B6</f>
        <v>#DIV/0!</v>
      </c>
      <c r="M6" s="16" t="e">
        <f>L6*C6</f>
        <v>#DIV/0!</v>
      </c>
      <c r="N6" s="16" t="e">
        <f>L6*B6</f>
        <v>#DIV/0!</v>
      </c>
      <c r="P6" s="17" t="e">
        <f>O6*C6</f>
        <v>#DIV/0!</v>
      </c>
      <c r="Q6" s="17" t="e">
        <f>O6*B6</f>
        <v>#DIV/0!</v>
      </c>
      <c r="R6" s="39"/>
      <c r="S6" s="38" t="e">
        <f>R6*C6</f>
        <v>#DIV/0!</v>
      </c>
      <c r="T6" s="38" t="e">
        <f>R6*B6</f>
        <v>#DIV/0!</v>
      </c>
      <c r="U6" s="7"/>
      <c r="V6" s="22" t="s">
        <v>765</v>
      </c>
    </row>
    <row r="7" spans="1:26">
      <c r="B7" s="8" t="e">
        <f>C7*(1+$B$2)</f>
        <v>#DIV/0!</v>
      </c>
      <c r="C7" s="8" t="e">
        <f>AVERAGE(D7:E7)</f>
        <v>#DIV/0!</v>
      </c>
      <c r="F7" s="290"/>
      <c r="G7" s="36" t="e">
        <f t="shared" si="1"/>
        <v>#VALUE!</v>
      </c>
      <c r="I7" s="63">
        <v>2</v>
      </c>
      <c r="J7" s="15" t="e">
        <f>I7*C7</f>
        <v>#DIV/0!</v>
      </c>
      <c r="K7" s="15" t="e">
        <f>I7*B7</f>
        <v>#DIV/0!</v>
      </c>
      <c r="M7" s="16" t="e">
        <f>L7*C7</f>
        <v>#DIV/0!</v>
      </c>
      <c r="N7" s="16" t="e">
        <f>L7*B7</f>
        <v>#DIV/0!</v>
      </c>
      <c r="P7" s="17" t="e">
        <f>O7*C7</f>
        <v>#DIV/0!</v>
      </c>
      <c r="Q7" s="17" t="e">
        <f>O7*B7</f>
        <v>#DIV/0!</v>
      </c>
      <c r="R7" s="39"/>
      <c r="S7" s="38" t="e">
        <f>R7*C7</f>
        <v>#DIV/0!</v>
      </c>
      <c r="T7" s="38" t="e">
        <f>R7*B7</f>
        <v>#DIV/0!</v>
      </c>
      <c r="U7" s="7">
        <v>20</v>
      </c>
      <c r="V7" s="22" t="s">
        <v>765</v>
      </c>
    </row>
    <row r="8" spans="1:26">
      <c r="B8" s="8" t="e">
        <f>C8*(1+$B$2)</f>
        <v>#DIV/0!</v>
      </c>
      <c r="C8" s="8" t="e">
        <f>AVERAGE(D8:E8)</f>
        <v>#DIV/0!</v>
      </c>
      <c r="F8" s="290"/>
      <c r="G8" s="36" t="e">
        <f t="shared" si="1"/>
        <v>#VALUE!</v>
      </c>
      <c r="J8" s="15" t="e">
        <f>I8*C8</f>
        <v>#DIV/0!</v>
      </c>
      <c r="K8" s="15" t="e">
        <f>I8*B8</f>
        <v>#DIV/0!</v>
      </c>
      <c r="M8" s="16" t="e">
        <f>L8*C8</f>
        <v>#DIV/0!</v>
      </c>
      <c r="N8" s="16" t="e">
        <f>L8*B8</f>
        <v>#DIV/0!</v>
      </c>
      <c r="P8" s="17" t="e">
        <f>O8*C8</f>
        <v>#DIV/0!</v>
      </c>
      <c r="Q8" s="17" t="e">
        <f>O8*B8</f>
        <v>#DIV/0!</v>
      </c>
      <c r="R8" s="39"/>
      <c r="S8" s="38" t="e">
        <f>R8*C8</f>
        <v>#DIV/0!</v>
      </c>
      <c r="T8" s="38" t="e">
        <f>R8*B8</f>
        <v>#DIV/0!</v>
      </c>
      <c r="U8" s="7"/>
      <c r="V8" s="22" t="s">
        <v>765</v>
      </c>
    </row>
    <row r="9" spans="1:26">
      <c r="F9" s="291"/>
      <c r="G9" s="36">
        <f t="shared" si="1"/>
        <v>0</v>
      </c>
    </row>
    <row r="10" spans="1:26" ht="19">
      <c r="A10" s="44" t="s">
        <v>731</v>
      </c>
      <c r="F10" s="72"/>
      <c r="G10" s="36">
        <f t="shared" si="1"/>
        <v>0</v>
      </c>
      <c r="I10" s="232"/>
      <c r="J10" s="232"/>
      <c r="K10" s="233"/>
      <c r="M10" s="16"/>
      <c r="N10" s="16"/>
      <c r="P10" s="17"/>
      <c r="Q10" s="17"/>
      <c r="R10" s="39"/>
      <c r="S10" s="38"/>
      <c r="T10" s="38"/>
      <c r="U10" s="7"/>
    </row>
    <row r="11" spans="1:26">
      <c r="A11" s="7" t="s">
        <v>768</v>
      </c>
      <c r="B11" s="8" t="e">
        <f>C11*(1+$B$2)</f>
        <v>#DIV/0!</v>
      </c>
      <c r="C11" s="8" t="e">
        <f t="shared" ref="C11:C16" si="2">AVERAGE(D11:E11)</f>
        <v>#DIV/0!</v>
      </c>
      <c r="E11" s="13"/>
      <c r="F11" s="292"/>
      <c r="G11" s="36">
        <f t="shared" si="1"/>
        <v>19.950000000000003</v>
      </c>
      <c r="I11" s="10">
        <v>1.33</v>
      </c>
      <c r="J11" s="15" t="e">
        <f t="shared" ref="J11:J16" si="3">I11*C11</f>
        <v>#DIV/0!</v>
      </c>
      <c r="K11" s="15" t="e">
        <f t="shared" ref="K11:K16" si="4">I11*B11</f>
        <v>#DIV/0!</v>
      </c>
      <c r="M11" s="16" t="e">
        <f t="shared" ref="M11:M16" si="5">L11*C11</f>
        <v>#DIV/0!</v>
      </c>
      <c r="N11" s="16" t="e">
        <f t="shared" ref="N11:N16" si="6">L11*B11</f>
        <v>#DIV/0!</v>
      </c>
      <c r="P11" s="17" t="e">
        <f t="shared" ref="P11:P16" si="7">O11*C11</f>
        <v>#DIV/0!</v>
      </c>
      <c r="Q11" s="17" t="e">
        <f t="shared" ref="Q11:Q16" si="8">O11*B11</f>
        <v>#DIV/0!</v>
      </c>
      <c r="R11" s="39"/>
      <c r="S11" s="38" t="e">
        <f t="shared" ref="S11:S16" si="9">R11*C11</f>
        <v>#DIV/0!</v>
      </c>
      <c r="T11" s="38" t="e">
        <f t="shared" ref="T11:T16" si="10">R11*B11</f>
        <v>#DIV/0!</v>
      </c>
      <c r="U11" s="7"/>
    </row>
    <row r="12" spans="1:26">
      <c r="A12" s="7" t="s">
        <v>179</v>
      </c>
      <c r="B12" s="8" t="e">
        <f>C12*(1+$B$2)</f>
        <v>#DIV/0!</v>
      </c>
      <c r="C12" s="8" t="e">
        <f t="shared" si="2"/>
        <v>#DIV/0!</v>
      </c>
      <c r="F12" s="293"/>
      <c r="G12" s="36">
        <f t="shared" si="1"/>
        <v>0</v>
      </c>
      <c r="J12" s="15" t="e">
        <f t="shared" si="3"/>
        <v>#DIV/0!</v>
      </c>
      <c r="K12" s="15" t="e">
        <f t="shared" si="4"/>
        <v>#DIV/0!</v>
      </c>
      <c r="M12" s="16" t="e">
        <f t="shared" si="5"/>
        <v>#DIV/0!</v>
      </c>
      <c r="N12" s="16" t="e">
        <f t="shared" si="6"/>
        <v>#DIV/0!</v>
      </c>
      <c r="P12" s="17" t="e">
        <f t="shared" si="7"/>
        <v>#DIV/0!</v>
      </c>
      <c r="Q12" s="17" t="e">
        <f t="shared" si="8"/>
        <v>#DIV/0!</v>
      </c>
      <c r="R12" s="39"/>
      <c r="S12" s="38" t="e">
        <f t="shared" si="9"/>
        <v>#DIV/0!</v>
      </c>
      <c r="T12" s="38" t="e">
        <f t="shared" si="10"/>
        <v>#DIV/0!</v>
      </c>
      <c r="U12" s="7"/>
    </row>
    <row r="13" spans="1:26">
      <c r="A13" s="7" t="s">
        <v>769</v>
      </c>
      <c r="B13" s="8" t="e">
        <f t="shared" ref="B13:B19" si="11">C13*(1+$B$2)</f>
        <v>#DIV/0!</v>
      </c>
      <c r="C13" s="8" t="e">
        <f t="shared" si="2"/>
        <v>#DIV/0!</v>
      </c>
      <c r="F13" s="293"/>
      <c r="G13" s="36">
        <f t="shared" si="1"/>
        <v>19.950000000000003</v>
      </c>
      <c r="I13" s="10">
        <v>1.33</v>
      </c>
      <c r="J13" s="15" t="e">
        <f t="shared" si="3"/>
        <v>#DIV/0!</v>
      </c>
      <c r="K13" s="15" t="e">
        <f t="shared" si="4"/>
        <v>#DIV/0!</v>
      </c>
      <c r="M13" s="16" t="e">
        <f t="shared" si="5"/>
        <v>#DIV/0!</v>
      </c>
      <c r="N13" s="16" t="e">
        <f t="shared" si="6"/>
        <v>#DIV/0!</v>
      </c>
      <c r="P13" s="17" t="e">
        <f t="shared" si="7"/>
        <v>#DIV/0!</v>
      </c>
      <c r="Q13" s="17" t="e">
        <f t="shared" si="8"/>
        <v>#DIV/0!</v>
      </c>
      <c r="R13" s="39"/>
      <c r="S13" s="38" t="e">
        <f t="shared" si="9"/>
        <v>#DIV/0!</v>
      </c>
      <c r="T13" s="38" t="e">
        <f t="shared" si="10"/>
        <v>#DIV/0!</v>
      </c>
      <c r="U13" s="7"/>
    </row>
    <row r="14" spans="1:26">
      <c r="B14" s="8" t="e">
        <f t="shared" si="11"/>
        <v>#DIV/0!</v>
      </c>
      <c r="C14" s="8" t="e">
        <f t="shared" si="2"/>
        <v>#DIV/0!</v>
      </c>
      <c r="D14" s="60"/>
      <c r="F14" s="293"/>
      <c r="G14" s="36">
        <f t="shared" si="1"/>
        <v>25</v>
      </c>
      <c r="J14" s="15" t="e">
        <f t="shared" si="3"/>
        <v>#DIV/0!</v>
      </c>
      <c r="K14" s="15" t="e">
        <f t="shared" si="4"/>
        <v>#DIV/0!</v>
      </c>
      <c r="M14" s="16" t="e">
        <f t="shared" si="5"/>
        <v>#DIV/0!</v>
      </c>
      <c r="N14" s="16" t="e">
        <f t="shared" si="6"/>
        <v>#DIV/0!</v>
      </c>
      <c r="P14" s="17" t="e">
        <f t="shared" si="7"/>
        <v>#DIV/0!</v>
      </c>
      <c r="Q14" s="17" t="e">
        <f t="shared" si="8"/>
        <v>#DIV/0!</v>
      </c>
      <c r="R14" s="39">
        <v>5</v>
      </c>
      <c r="S14" s="38" t="e">
        <f t="shared" si="9"/>
        <v>#DIV/0!</v>
      </c>
      <c r="T14" s="38" t="e">
        <f t="shared" si="10"/>
        <v>#DIV/0!</v>
      </c>
      <c r="U14" s="7"/>
    </row>
    <row r="15" spans="1:26">
      <c r="B15" s="8" t="e">
        <f t="shared" si="11"/>
        <v>#DIV/0!</v>
      </c>
      <c r="C15" s="8" t="e">
        <f t="shared" si="2"/>
        <v>#DIV/0!</v>
      </c>
      <c r="D15" s="60"/>
      <c r="F15" s="293"/>
      <c r="G15" s="36">
        <f t="shared" si="1"/>
        <v>0</v>
      </c>
      <c r="J15" s="15" t="e">
        <f t="shared" si="3"/>
        <v>#DIV/0!</v>
      </c>
      <c r="K15" s="15" t="e">
        <f t="shared" si="4"/>
        <v>#DIV/0!</v>
      </c>
      <c r="M15" s="16" t="e">
        <f t="shared" si="5"/>
        <v>#DIV/0!</v>
      </c>
      <c r="N15" s="16" t="e">
        <f t="shared" si="6"/>
        <v>#DIV/0!</v>
      </c>
      <c r="P15" s="17" t="e">
        <f t="shared" si="7"/>
        <v>#DIV/0!</v>
      </c>
      <c r="Q15" s="17" t="e">
        <f t="shared" si="8"/>
        <v>#DIV/0!</v>
      </c>
      <c r="R15" s="39"/>
      <c r="S15" s="38" t="e">
        <f t="shared" si="9"/>
        <v>#DIV/0!</v>
      </c>
      <c r="T15" s="38" t="e">
        <f t="shared" si="10"/>
        <v>#DIV/0!</v>
      </c>
      <c r="U15" s="7"/>
    </row>
    <row r="16" spans="1:26">
      <c r="B16" s="8" t="e">
        <f t="shared" si="11"/>
        <v>#DIV/0!</v>
      </c>
      <c r="C16" s="8" t="e">
        <f t="shared" si="2"/>
        <v>#DIV/0!</v>
      </c>
      <c r="D16" s="60"/>
      <c r="F16" s="294"/>
      <c r="G16" s="36">
        <f t="shared" si="1"/>
        <v>19.950000000000003</v>
      </c>
      <c r="I16" s="10">
        <v>1.33</v>
      </c>
      <c r="J16" s="15" t="e">
        <f t="shared" si="3"/>
        <v>#DIV/0!</v>
      </c>
      <c r="K16" s="15" t="e">
        <f t="shared" si="4"/>
        <v>#DIV/0!</v>
      </c>
      <c r="M16" s="16" t="e">
        <f t="shared" si="5"/>
        <v>#DIV/0!</v>
      </c>
      <c r="N16" s="16" t="e">
        <f t="shared" si="6"/>
        <v>#DIV/0!</v>
      </c>
      <c r="P16" s="17" t="e">
        <f t="shared" si="7"/>
        <v>#DIV/0!</v>
      </c>
      <c r="Q16" s="17" t="e">
        <f t="shared" si="8"/>
        <v>#DIV/0!</v>
      </c>
      <c r="R16" s="39"/>
      <c r="S16" s="38" t="e">
        <f t="shared" si="9"/>
        <v>#DIV/0!</v>
      </c>
      <c r="T16" s="38" t="e">
        <f t="shared" si="10"/>
        <v>#DIV/0!</v>
      </c>
      <c r="U16" s="7"/>
    </row>
    <row r="17" spans="1:22" ht="19">
      <c r="A17" s="44" t="s">
        <v>734</v>
      </c>
      <c r="G17" s="36">
        <f t="shared" si="1"/>
        <v>0</v>
      </c>
      <c r="I17" s="231"/>
      <c r="J17" s="232"/>
      <c r="K17" s="233"/>
      <c r="M17" s="16"/>
      <c r="N17" s="16"/>
      <c r="P17" s="17"/>
      <c r="Q17" s="17"/>
      <c r="R17" s="237"/>
      <c r="S17" s="238"/>
      <c r="T17" s="239"/>
      <c r="U17" s="7"/>
    </row>
    <row r="18" spans="1:22">
      <c r="A18" s="7" t="s">
        <v>770</v>
      </c>
      <c r="B18" s="8">
        <f t="shared" si="11"/>
        <v>2.1749999999999998</v>
      </c>
      <c r="C18" s="8">
        <f t="shared" ref="C18:C26" si="12">AVERAGE(D18:E18)</f>
        <v>1.45</v>
      </c>
      <c r="D18" s="8">
        <v>1.4</v>
      </c>
      <c r="E18" s="8">
        <v>1.5</v>
      </c>
      <c r="F18" s="295"/>
      <c r="G18" s="36">
        <f t="shared" si="1"/>
        <v>7.5</v>
      </c>
      <c r="I18" s="10">
        <v>0.5</v>
      </c>
      <c r="J18" s="15">
        <f t="shared" ref="J18:J26" si="13">I18*C18</f>
        <v>0.72499999999999998</v>
      </c>
      <c r="K18" s="15">
        <f t="shared" ref="K18:K26" si="14">I18*B18</f>
        <v>1.0874999999999999</v>
      </c>
      <c r="M18" s="16">
        <f t="shared" ref="M18:M26" si="15">L18*C18</f>
        <v>0</v>
      </c>
      <c r="N18" s="16">
        <f t="shared" ref="N18:N26" si="16">L18*B18</f>
        <v>0</v>
      </c>
      <c r="P18" s="17">
        <f t="shared" ref="P18:P26" si="17">O18*C18</f>
        <v>0</v>
      </c>
      <c r="Q18" s="17">
        <f t="shared" ref="Q18:Q26" si="18">O18*B18</f>
        <v>0</v>
      </c>
      <c r="R18" s="39"/>
      <c r="S18" s="38">
        <f t="shared" ref="S18:S26" si="19">R18*C18</f>
        <v>0</v>
      </c>
      <c r="T18" s="38">
        <f t="shared" ref="T18:T26" si="20">R18*B18</f>
        <v>0</v>
      </c>
      <c r="U18" s="7"/>
    </row>
    <row r="19" spans="1:22">
      <c r="A19" s="7" t="s">
        <v>771</v>
      </c>
      <c r="B19" s="8">
        <f t="shared" si="11"/>
        <v>2.5499999999999998</v>
      </c>
      <c r="C19" s="8">
        <f t="shared" si="12"/>
        <v>1.7</v>
      </c>
      <c r="D19" s="8">
        <v>1.4</v>
      </c>
      <c r="E19" s="8">
        <v>2</v>
      </c>
      <c r="F19" s="296"/>
      <c r="G19" s="36">
        <f t="shared" si="1"/>
        <v>0</v>
      </c>
      <c r="J19" s="15">
        <f t="shared" si="13"/>
        <v>0</v>
      </c>
      <c r="K19" s="15">
        <f t="shared" si="14"/>
        <v>0</v>
      </c>
      <c r="M19" s="16">
        <f t="shared" si="15"/>
        <v>0</v>
      </c>
      <c r="N19" s="16">
        <f t="shared" si="16"/>
        <v>0</v>
      </c>
      <c r="P19" s="17">
        <f t="shared" si="17"/>
        <v>0</v>
      </c>
      <c r="Q19" s="17">
        <f t="shared" si="18"/>
        <v>0</v>
      </c>
      <c r="R19" s="39"/>
      <c r="S19" s="38">
        <f t="shared" si="19"/>
        <v>0</v>
      </c>
      <c r="T19" s="38">
        <f t="shared" si="20"/>
        <v>0</v>
      </c>
      <c r="U19" s="7"/>
    </row>
    <row r="20" spans="1:22">
      <c r="A20" s="7" t="s">
        <v>772</v>
      </c>
      <c r="B20" s="8">
        <f>C20*(1+$B$2)</f>
        <v>2.5875000000000004</v>
      </c>
      <c r="C20" s="8">
        <f t="shared" si="12"/>
        <v>1.7250000000000001</v>
      </c>
      <c r="D20" s="8">
        <v>1.55</v>
      </c>
      <c r="E20" s="8">
        <v>1.9</v>
      </c>
      <c r="F20" s="296"/>
      <c r="G20" s="36">
        <f t="shared" si="1"/>
        <v>0</v>
      </c>
      <c r="J20" s="15">
        <f t="shared" si="13"/>
        <v>0</v>
      </c>
      <c r="K20" s="15">
        <f t="shared" si="14"/>
        <v>0</v>
      </c>
      <c r="M20" s="16">
        <f t="shared" si="15"/>
        <v>0</v>
      </c>
      <c r="N20" s="16">
        <f t="shared" si="16"/>
        <v>0</v>
      </c>
      <c r="P20" s="17">
        <f t="shared" si="17"/>
        <v>0</v>
      </c>
      <c r="Q20" s="17">
        <f t="shared" si="18"/>
        <v>0</v>
      </c>
      <c r="R20" s="39"/>
      <c r="S20" s="38">
        <f t="shared" si="19"/>
        <v>0</v>
      </c>
      <c r="T20" s="38">
        <f t="shared" si="20"/>
        <v>0</v>
      </c>
      <c r="U20" s="7"/>
    </row>
    <row r="21" spans="1:22">
      <c r="A21" s="7" t="s">
        <v>773</v>
      </c>
      <c r="B21" s="8">
        <f>C21*(1+$B$2)</f>
        <v>1.5</v>
      </c>
      <c r="C21" s="8">
        <f t="shared" si="12"/>
        <v>1</v>
      </c>
      <c r="D21" s="13">
        <v>1</v>
      </c>
      <c r="F21" s="296"/>
      <c r="G21" s="36">
        <f t="shared" si="1"/>
        <v>0</v>
      </c>
      <c r="J21" s="15">
        <f t="shared" si="13"/>
        <v>0</v>
      </c>
      <c r="K21" s="15">
        <f t="shared" si="14"/>
        <v>0</v>
      </c>
      <c r="M21" s="16">
        <f t="shared" si="15"/>
        <v>0</v>
      </c>
      <c r="N21" s="16">
        <f t="shared" si="16"/>
        <v>0</v>
      </c>
      <c r="P21" s="17">
        <f t="shared" si="17"/>
        <v>0</v>
      </c>
      <c r="Q21" s="17">
        <f t="shared" si="18"/>
        <v>0</v>
      </c>
      <c r="R21" s="39"/>
      <c r="S21" s="38">
        <f t="shared" si="19"/>
        <v>0</v>
      </c>
      <c r="T21" s="38">
        <f t="shared" si="20"/>
        <v>0</v>
      </c>
      <c r="U21" s="7"/>
    </row>
    <row r="22" spans="1:22">
      <c r="A22" s="7" t="s">
        <v>774</v>
      </c>
      <c r="B22" s="8">
        <f>C22*(1+$B$2)</f>
        <v>1.125</v>
      </c>
      <c r="C22" s="8">
        <f t="shared" si="12"/>
        <v>0.75</v>
      </c>
      <c r="D22" s="8">
        <v>0.75</v>
      </c>
      <c r="F22" s="296"/>
      <c r="G22" s="36">
        <f t="shared" si="1"/>
        <v>0</v>
      </c>
      <c r="J22" s="15">
        <f t="shared" si="13"/>
        <v>0</v>
      </c>
      <c r="K22" s="15">
        <f t="shared" si="14"/>
        <v>0</v>
      </c>
      <c r="M22" s="16">
        <f t="shared" si="15"/>
        <v>0</v>
      </c>
      <c r="N22" s="16">
        <f t="shared" si="16"/>
        <v>0</v>
      </c>
      <c r="P22" s="17">
        <f t="shared" si="17"/>
        <v>0</v>
      </c>
      <c r="Q22" s="17">
        <f t="shared" si="18"/>
        <v>0</v>
      </c>
      <c r="R22" s="39"/>
      <c r="S22" s="38">
        <f t="shared" si="19"/>
        <v>0</v>
      </c>
      <c r="T22" s="38">
        <f t="shared" si="20"/>
        <v>0</v>
      </c>
      <c r="U22" s="7"/>
    </row>
    <row r="23" spans="1:22">
      <c r="A23" s="7" t="s">
        <v>775</v>
      </c>
      <c r="B23" s="8">
        <f>C23*(1+$B$2)</f>
        <v>1.875</v>
      </c>
      <c r="C23" s="8">
        <f t="shared" si="12"/>
        <v>1.25</v>
      </c>
      <c r="D23" s="8">
        <v>1.1000000000000001</v>
      </c>
      <c r="E23" s="8">
        <v>1.4</v>
      </c>
      <c r="F23" s="296"/>
      <c r="G23" s="36">
        <f t="shared" si="1"/>
        <v>7.5</v>
      </c>
      <c r="I23" s="10">
        <v>0.5</v>
      </c>
      <c r="J23" s="15">
        <f t="shared" si="13"/>
        <v>0.625</v>
      </c>
      <c r="K23" s="15">
        <f t="shared" si="14"/>
        <v>0.9375</v>
      </c>
      <c r="M23" s="16">
        <f t="shared" si="15"/>
        <v>0</v>
      </c>
      <c r="N23" s="16">
        <f t="shared" si="16"/>
        <v>0</v>
      </c>
      <c r="P23" s="17">
        <f t="shared" si="17"/>
        <v>0</v>
      </c>
      <c r="Q23" s="17">
        <f t="shared" si="18"/>
        <v>0</v>
      </c>
      <c r="R23" s="39"/>
      <c r="S23" s="38">
        <f t="shared" si="19"/>
        <v>0</v>
      </c>
      <c r="T23" s="38">
        <f t="shared" si="20"/>
        <v>0</v>
      </c>
      <c r="U23" s="7"/>
    </row>
    <row r="24" spans="1:22">
      <c r="A24" s="7" t="s">
        <v>776</v>
      </c>
      <c r="B24" s="8">
        <f t="shared" ref="B24:B26" si="21">C24*(1+$B$2)</f>
        <v>1.5374999999999999</v>
      </c>
      <c r="C24" s="8">
        <f t="shared" si="12"/>
        <v>1.0249999999999999</v>
      </c>
      <c r="D24" s="13">
        <v>0.75</v>
      </c>
      <c r="E24" s="8">
        <v>1.3</v>
      </c>
      <c r="F24" s="296"/>
      <c r="G24" s="36">
        <f t="shared" si="1"/>
        <v>360</v>
      </c>
      <c r="I24" s="10">
        <v>3</v>
      </c>
      <c r="J24" s="15">
        <f t="shared" si="13"/>
        <v>3.0749999999999997</v>
      </c>
      <c r="K24" s="15">
        <f t="shared" si="14"/>
        <v>4.6124999999999998</v>
      </c>
      <c r="M24" s="16">
        <f t="shared" si="15"/>
        <v>0</v>
      </c>
      <c r="N24" s="16">
        <f t="shared" si="16"/>
        <v>0</v>
      </c>
      <c r="O24" s="12">
        <v>10</v>
      </c>
      <c r="P24" s="17">
        <f t="shared" si="17"/>
        <v>10.25</v>
      </c>
      <c r="Q24" s="17">
        <f t="shared" si="18"/>
        <v>15.374999999999998</v>
      </c>
      <c r="R24" s="39">
        <v>3</v>
      </c>
      <c r="S24" s="38">
        <f t="shared" si="19"/>
        <v>3.0749999999999997</v>
      </c>
      <c r="T24" s="38">
        <f t="shared" si="20"/>
        <v>4.6124999999999998</v>
      </c>
      <c r="U24" s="7"/>
    </row>
    <row r="25" spans="1:22">
      <c r="A25" s="7" t="s">
        <v>777</v>
      </c>
      <c r="B25" s="8">
        <f t="shared" si="21"/>
        <v>2.2874999999999996</v>
      </c>
      <c r="C25" s="8">
        <f t="shared" si="12"/>
        <v>1.5249999999999999</v>
      </c>
      <c r="D25" s="8">
        <v>1.25</v>
      </c>
      <c r="E25" s="8">
        <v>1.8</v>
      </c>
      <c r="F25" s="297"/>
      <c r="G25" s="36">
        <f t="shared" si="1"/>
        <v>130</v>
      </c>
      <c r="I25" s="10">
        <v>2</v>
      </c>
      <c r="J25" s="15">
        <f t="shared" si="13"/>
        <v>3.05</v>
      </c>
      <c r="K25" s="15">
        <f t="shared" si="14"/>
        <v>4.5749999999999993</v>
      </c>
      <c r="M25" s="16">
        <f t="shared" si="15"/>
        <v>0</v>
      </c>
      <c r="N25" s="16">
        <f t="shared" si="16"/>
        <v>0</v>
      </c>
      <c r="O25" s="12">
        <v>3</v>
      </c>
      <c r="P25" s="17">
        <f t="shared" si="17"/>
        <v>4.5749999999999993</v>
      </c>
      <c r="Q25" s="17">
        <f t="shared" si="18"/>
        <v>6.8624999999999989</v>
      </c>
      <c r="R25" s="39">
        <v>2</v>
      </c>
      <c r="S25" s="38">
        <f t="shared" si="19"/>
        <v>3.05</v>
      </c>
      <c r="T25" s="38">
        <f t="shared" si="20"/>
        <v>4.5749999999999993</v>
      </c>
      <c r="U25" s="7"/>
    </row>
    <row r="26" spans="1:22" hidden="1">
      <c r="A26" s="7" t="s">
        <v>778</v>
      </c>
      <c r="B26" s="8">
        <f t="shared" si="21"/>
        <v>1.875</v>
      </c>
      <c r="C26" s="8">
        <f t="shared" si="12"/>
        <v>1.25</v>
      </c>
      <c r="D26" s="8">
        <v>1.1000000000000001</v>
      </c>
      <c r="E26" s="8">
        <v>1.4</v>
      </c>
      <c r="G26" s="36">
        <f t="shared" si="1"/>
        <v>0</v>
      </c>
      <c r="J26" s="15">
        <f t="shared" si="13"/>
        <v>0</v>
      </c>
      <c r="K26" s="15">
        <f t="shared" si="14"/>
        <v>0</v>
      </c>
      <c r="M26" s="16">
        <f t="shared" si="15"/>
        <v>0</v>
      </c>
      <c r="N26" s="16">
        <f t="shared" si="16"/>
        <v>0</v>
      </c>
      <c r="P26" s="17">
        <f t="shared" si="17"/>
        <v>0</v>
      </c>
      <c r="Q26" s="17">
        <f t="shared" si="18"/>
        <v>0</v>
      </c>
      <c r="R26" s="39"/>
      <c r="S26" s="38">
        <f t="shared" si="19"/>
        <v>0</v>
      </c>
      <c r="T26" s="38">
        <f t="shared" si="20"/>
        <v>0</v>
      </c>
      <c r="U26" s="7"/>
    </row>
    <row r="27" spans="1:22" ht="21">
      <c r="A27" s="59" t="s">
        <v>145</v>
      </c>
      <c r="G27" s="36">
        <f t="shared" si="1"/>
        <v>0</v>
      </c>
      <c r="I27" s="231"/>
      <c r="J27" s="232"/>
      <c r="K27" s="233"/>
      <c r="M27" s="16"/>
      <c r="N27" s="16"/>
      <c r="O27" s="234"/>
      <c r="P27" s="235"/>
      <c r="Q27" s="236"/>
      <c r="R27" s="39"/>
      <c r="S27" s="38"/>
      <c r="T27" s="38"/>
      <c r="U27" s="7"/>
    </row>
    <row r="28" spans="1:22">
      <c r="A28" s="7" t="s">
        <v>182</v>
      </c>
      <c r="B28" s="8">
        <f>C28*(1+$B$2)</f>
        <v>1.8000000000000003</v>
      </c>
      <c r="C28" s="8">
        <f t="shared" ref="C28:C35" si="22">AVERAGE(D28:E28)</f>
        <v>1.2000000000000002</v>
      </c>
      <c r="D28" s="8">
        <v>1.1000000000000001</v>
      </c>
      <c r="E28" s="8">
        <v>1.3</v>
      </c>
      <c r="F28" s="295"/>
      <c r="G28" s="36">
        <f t="shared" si="1"/>
        <v>0</v>
      </c>
      <c r="J28" s="15">
        <f t="shared" ref="J28:J35" si="23">I28*C28</f>
        <v>0</v>
      </c>
      <c r="K28" s="15">
        <f t="shared" ref="K28:K35" si="24">I28*B28</f>
        <v>0</v>
      </c>
      <c r="M28" s="16">
        <f t="shared" ref="M28:M35" si="25">L28*C28</f>
        <v>0</v>
      </c>
      <c r="N28" s="16">
        <f t="shared" ref="N28:N35" si="26">L28*B28</f>
        <v>0</v>
      </c>
      <c r="P28" s="17">
        <f t="shared" ref="P28:P35" si="27">O28*C28</f>
        <v>0</v>
      </c>
      <c r="Q28" s="17">
        <f t="shared" ref="Q28:Q35" si="28">O28*B28</f>
        <v>0</v>
      </c>
      <c r="R28" s="39"/>
      <c r="S28" s="38">
        <f t="shared" ref="S28:S35" si="29">R28*C28</f>
        <v>0</v>
      </c>
      <c r="T28" s="38">
        <f t="shared" ref="T28:T35" si="30">R28*B28</f>
        <v>0</v>
      </c>
      <c r="U28" s="7"/>
    </row>
    <row r="29" spans="1:22" ht="16" hidden="1" customHeight="1">
      <c r="A29" s="7" t="s">
        <v>779</v>
      </c>
      <c r="B29" s="8">
        <f t="shared" ref="B29:B30" si="31">C29*(1+$B$2)</f>
        <v>3.1500000000000004</v>
      </c>
      <c r="C29" s="8">
        <f t="shared" si="22"/>
        <v>2.1</v>
      </c>
      <c r="D29" s="8">
        <v>2.1</v>
      </c>
      <c r="F29" s="296"/>
      <c r="G29" s="36">
        <f t="shared" si="1"/>
        <v>0</v>
      </c>
      <c r="J29" s="15">
        <f t="shared" si="23"/>
        <v>0</v>
      </c>
      <c r="K29" s="15">
        <f t="shared" si="24"/>
        <v>0</v>
      </c>
      <c r="M29" s="16">
        <f t="shared" si="25"/>
        <v>0</v>
      </c>
      <c r="N29" s="16">
        <f t="shared" si="26"/>
        <v>0</v>
      </c>
      <c r="P29" s="17">
        <f t="shared" si="27"/>
        <v>0</v>
      </c>
      <c r="Q29" s="17">
        <f t="shared" si="28"/>
        <v>0</v>
      </c>
      <c r="R29" s="39"/>
      <c r="S29" s="38">
        <f t="shared" si="29"/>
        <v>0</v>
      </c>
      <c r="T29" s="38">
        <f t="shared" si="30"/>
        <v>0</v>
      </c>
      <c r="U29" s="7"/>
    </row>
    <row r="30" spans="1:22">
      <c r="A30" s="7" t="s">
        <v>780</v>
      </c>
      <c r="B30" s="8">
        <f t="shared" si="31"/>
        <v>1.9500000000000002</v>
      </c>
      <c r="C30" s="8">
        <f t="shared" si="22"/>
        <v>1.3</v>
      </c>
      <c r="D30" s="8">
        <v>1.3</v>
      </c>
      <c r="F30" s="296"/>
      <c r="G30" s="36">
        <f t="shared" si="1"/>
        <v>0</v>
      </c>
      <c r="J30" s="15">
        <f t="shared" si="23"/>
        <v>0</v>
      </c>
      <c r="K30" s="15">
        <f t="shared" si="24"/>
        <v>0</v>
      </c>
      <c r="M30" s="16">
        <f t="shared" si="25"/>
        <v>0</v>
      </c>
      <c r="N30" s="16">
        <f t="shared" si="26"/>
        <v>0</v>
      </c>
      <c r="P30" s="17">
        <f t="shared" si="27"/>
        <v>0</v>
      </c>
      <c r="Q30" s="17">
        <f t="shared" si="28"/>
        <v>0</v>
      </c>
      <c r="R30" s="39"/>
      <c r="S30" s="38">
        <f t="shared" si="29"/>
        <v>0</v>
      </c>
      <c r="T30" s="38">
        <f t="shared" si="30"/>
        <v>0</v>
      </c>
      <c r="U30" s="7"/>
    </row>
    <row r="31" spans="1:22">
      <c r="A31" s="7" t="s">
        <v>781</v>
      </c>
      <c r="B31" s="8">
        <f>C31*(1+$B$2)</f>
        <v>1.5750000000000002</v>
      </c>
      <c r="C31" s="8">
        <f t="shared" si="22"/>
        <v>1.05</v>
      </c>
      <c r="D31" s="8">
        <v>1.1000000000000001</v>
      </c>
      <c r="E31" s="8">
        <v>1</v>
      </c>
      <c r="F31" s="296"/>
      <c r="G31" s="36" t="e">
        <f t="shared" si="1"/>
        <v>#VALUE!</v>
      </c>
      <c r="I31" s="10">
        <v>0.5</v>
      </c>
      <c r="J31" s="15">
        <f t="shared" si="23"/>
        <v>0.52500000000000002</v>
      </c>
      <c r="K31" s="15">
        <f t="shared" si="24"/>
        <v>0.78750000000000009</v>
      </c>
      <c r="M31" s="16">
        <f t="shared" si="25"/>
        <v>0</v>
      </c>
      <c r="N31" s="16">
        <f t="shared" si="26"/>
        <v>0</v>
      </c>
      <c r="P31" s="17">
        <f t="shared" si="27"/>
        <v>0</v>
      </c>
      <c r="Q31" s="17">
        <f t="shared" si="28"/>
        <v>0</v>
      </c>
      <c r="R31" s="39"/>
      <c r="S31" s="38">
        <f t="shared" si="29"/>
        <v>0</v>
      </c>
      <c r="T31" s="38">
        <f t="shared" si="30"/>
        <v>0</v>
      </c>
      <c r="U31" s="7"/>
      <c r="V31" s="22" t="s">
        <v>765</v>
      </c>
    </row>
    <row r="32" spans="1:22">
      <c r="A32" s="7" t="s">
        <v>782</v>
      </c>
      <c r="B32" s="8">
        <f>C32*(1+$B$2)</f>
        <v>1.5</v>
      </c>
      <c r="C32" s="8">
        <f t="shared" si="22"/>
        <v>1</v>
      </c>
      <c r="D32" s="8">
        <v>1.1000000000000001</v>
      </c>
      <c r="E32" s="8">
        <v>0.9</v>
      </c>
      <c r="F32" s="296"/>
      <c r="G32" s="36">
        <f t="shared" si="1"/>
        <v>7.5</v>
      </c>
      <c r="I32" s="10">
        <v>0.5</v>
      </c>
      <c r="J32" s="15">
        <f t="shared" si="23"/>
        <v>0.5</v>
      </c>
      <c r="K32" s="15">
        <f t="shared" si="24"/>
        <v>0.75</v>
      </c>
      <c r="M32" s="16">
        <f t="shared" si="25"/>
        <v>0</v>
      </c>
      <c r="N32" s="16">
        <f t="shared" si="26"/>
        <v>0</v>
      </c>
      <c r="P32" s="17">
        <f t="shared" si="27"/>
        <v>0</v>
      </c>
      <c r="Q32" s="17">
        <f t="shared" si="28"/>
        <v>0</v>
      </c>
      <c r="R32" s="39"/>
      <c r="S32" s="38">
        <f t="shared" si="29"/>
        <v>0</v>
      </c>
      <c r="T32" s="38">
        <f t="shared" si="30"/>
        <v>0</v>
      </c>
      <c r="U32" s="7"/>
    </row>
    <row r="33" spans="1:21">
      <c r="A33" s="7" t="s">
        <v>783</v>
      </c>
      <c r="B33" s="8">
        <f>C33*(1+$B$2)</f>
        <v>1.6500000000000001</v>
      </c>
      <c r="C33" s="8">
        <f t="shared" si="22"/>
        <v>1.1000000000000001</v>
      </c>
      <c r="D33" s="13">
        <v>1.1000000000000001</v>
      </c>
      <c r="F33" s="296"/>
      <c r="G33" s="36">
        <f t="shared" si="1"/>
        <v>7.5</v>
      </c>
      <c r="I33" s="10">
        <v>0.5</v>
      </c>
      <c r="J33" s="15">
        <f t="shared" si="23"/>
        <v>0.55000000000000004</v>
      </c>
      <c r="K33" s="15">
        <f t="shared" si="24"/>
        <v>0.82500000000000007</v>
      </c>
      <c r="M33" s="16">
        <f t="shared" si="25"/>
        <v>0</v>
      </c>
      <c r="N33" s="16">
        <f t="shared" si="26"/>
        <v>0</v>
      </c>
      <c r="P33" s="17">
        <f t="shared" si="27"/>
        <v>0</v>
      </c>
      <c r="Q33" s="17">
        <f t="shared" si="28"/>
        <v>0</v>
      </c>
      <c r="R33" s="39"/>
      <c r="S33" s="38">
        <f t="shared" si="29"/>
        <v>0</v>
      </c>
      <c r="T33" s="38">
        <f t="shared" si="30"/>
        <v>0</v>
      </c>
      <c r="U33" s="7"/>
    </row>
    <row r="34" spans="1:21">
      <c r="A34" s="7" t="s">
        <v>784</v>
      </c>
      <c r="B34" s="8">
        <f>C34*(1+$B$2)</f>
        <v>3</v>
      </c>
      <c r="C34" s="8">
        <f t="shared" si="22"/>
        <v>2</v>
      </c>
      <c r="D34" s="8">
        <v>2</v>
      </c>
      <c r="F34" s="296"/>
      <c r="G34" s="36">
        <f t="shared" si="1"/>
        <v>0</v>
      </c>
      <c r="J34" s="15">
        <f t="shared" si="23"/>
        <v>0</v>
      </c>
      <c r="K34" s="15">
        <f t="shared" si="24"/>
        <v>0</v>
      </c>
      <c r="M34" s="16">
        <f t="shared" si="25"/>
        <v>0</v>
      </c>
      <c r="N34" s="16">
        <f t="shared" si="26"/>
        <v>0</v>
      </c>
      <c r="P34" s="17">
        <f t="shared" si="27"/>
        <v>0</v>
      </c>
      <c r="Q34" s="17">
        <f t="shared" si="28"/>
        <v>0</v>
      </c>
      <c r="R34" s="39"/>
      <c r="S34" s="38">
        <f t="shared" si="29"/>
        <v>0</v>
      </c>
      <c r="T34" s="38">
        <f t="shared" si="30"/>
        <v>0</v>
      </c>
      <c r="U34" s="7"/>
    </row>
    <row r="35" spans="1:21">
      <c r="A35" s="7" t="s">
        <v>785</v>
      </c>
      <c r="B35" s="8">
        <f>C35*(1+$B$2)</f>
        <v>1.6500000000000001</v>
      </c>
      <c r="C35" s="8">
        <f t="shared" si="22"/>
        <v>1.1000000000000001</v>
      </c>
      <c r="D35" s="8">
        <v>1.1000000000000001</v>
      </c>
      <c r="F35" s="297"/>
      <c r="G35" s="36">
        <f t="shared" si="1"/>
        <v>7.5</v>
      </c>
      <c r="I35" s="10">
        <v>0.5</v>
      </c>
      <c r="J35" s="15">
        <f t="shared" si="23"/>
        <v>0.55000000000000004</v>
      </c>
      <c r="K35" s="15">
        <f t="shared" si="24"/>
        <v>0.82500000000000007</v>
      </c>
      <c r="M35" s="16">
        <f t="shared" si="25"/>
        <v>0</v>
      </c>
      <c r="N35" s="16">
        <f t="shared" si="26"/>
        <v>0</v>
      </c>
      <c r="P35" s="17">
        <f t="shared" si="27"/>
        <v>0</v>
      </c>
      <c r="Q35" s="17">
        <f t="shared" si="28"/>
        <v>0</v>
      </c>
      <c r="R35" s="39"/>
      <c r="S35" s="38">
        <f t="shared" si="29"/>
        <v>0</v>
      </c>
      <c r="T35" s="38">
        <f t="shared" si="30"/>
        <v>0</v>
      </c>
      <c r="U35" s="7"/>
    </row>
    <row r="36" spans="1:21" ht="21">
      <c r="A36" s="59" t="s">
        <v>738</v>
      </c>
      <c r="D36" s="60"/>
      <c r="G36" s="36">
        <f t="shared" si="1"/>
        <v>0</v>
      </c>
      <c r="I36" s="231"/>
      <c r="J36" s="232"/>
      <c r="K36" s="233"/>
      <c r="M36" s="16"/>
      <c r="N36" s="16"/>
      <c r="P36" s="17"/>
      <c r="Q36" s="17"/>
      <c r="R36" s="39"/>
      <c r="S36" s="38"/>
      <c r="T36" s="38"/>
      <c r="U36" s="7"/>
    </row>
    <row r="37" spans="1:21">
      <c r="A37" s="7" t="s">
        <v>786</v>
      </c>
      <c r="B37" s="8">
        <f>C37*(1+$B$2)</f>
        <v>1.845</v>
      </c>
      <c r="C37" s="8">
        <f t="shared" ref="C37:C42" si="32">AVERAGE(D37:E37)</f>
        <v>1.23</v>
      </c>
      <c r="D37" s="8">
        <v>1.23</v>
      </c>
      <c r="F37" s="295"/>
      <c r="G37" s="36">
        <f t="shared" si="1"/>
        <v>0</v>
      </c>
      <c r="J37" s="15">
        <f t="shared" ref="J37:J42" si="33">I37*C37</f>
        <v>0</v>
      </c>
      <c r="K37" s="15">
        <f t="shared" ref="K37:K42" si="34">I37*B37</f>
        <v>0</v>
      </c>
      <c r="M37" s="16">
        <f t="shared" ref="M37:M42" si="35">L37*C37</f>
        <v>0</v>
      </c>
      <c r="N37" s="16">
        <f t="shared" ref="N37:N42" si="36">L37*B37</f>
        <v>0</v>
      </c>
      <c r="P37" s="17">
        <f t="shared" ref="P37:P42" si="37">O37*C37</f>
        <v>0</v>
      </c>
      <c r="Q37" s="17">
        <f t="shared" ref="Q37:Q42" si="38">O37*B37</f>
        <v>0</v>
      </c>
      <c r="R37" s="39"/>
      <c r="S37" s="38">
        <f t="shared" ref="S37:S42" si="39">R37*C37</f>
        <v>0</v>
      </c>
      <c r="T37" s="38">
        <f t="shared" ref="T37:T42" si="40">R37*B37</f>
        <v>0</v>
      </c>
      <c r="U37" s="7"/>
    </row>
    <row r="38" spans="1:21">
      <c r="A38" s="7" t="s">
        <v>44</v>
      </c>
      <c r="B38" s="8">
        <f>C38*(1+$B$2)</f>
        <v>0.75</v>
      </c>
      <c r="C38" s="8">
        <f t="shared" si="32"/>
        <v>0.5</v>
      </c>
      <c r="D38" s="13">
        <v>0.5</v>
      </c>
      <c r="F38" s="296"/>
      <c r="G38" s="36">
        <f t="shared" si="1"/>
        <v>30</v>
      </c>
      <c r="I38" s="10">
        <v>2</v>
      </c>
      <c r="J38" s="15">
        <f t="shared" si="33"/>
        <v>1</v>
      </c>
      <c r="K38" s="15">
        <f t="shared" si="34"/>
        <v>1.5</v>
      </c>
      <c r="M38" s="16">
        <f t="shared" si="35"/>
        <v>0</v>
      </c>
      <c r="N38" s="16">
        <f t="shared" si="36"/>
        <v>0</v>
      </c>
      <c r="P38" s="17">
        <f t="shared" si="37"/>
        <v>0</v>
      </c>
      <c r="Q38" s="17">
        <f t="shared" si="38"/>
        <v>0</v>
      </c>
      <c r="R38" s="39"/>
      <c r="S38" s="38">
        <f t="shared" si="39"/>
        <v>0</v>
      </c>
      <c r="T38" s="38">
        <f t="shared" si="40"/>
        <v>0</v>
      </c>
      <c r="U38" s="7"/>
    </row>
    <row r="39" spans="1:21">
      <c r="A39" s="7" t="s">
        <v>787</v>
      </c>
      <c r="B39" s="8">
        <f>C39*(1+$B$2)</f>
        <v>1.425</v>
      </c>
      <c r="C39" s="8">
        <f t="shared" si="32"/>
        <v>0.95000000000000007</v>
      </c>
      <c r="D39" s="8">
        <v>0.8</v>
      </c>
      <c r="E39" s="8">
        <v>1.1000000000000001</v>
      </c>
      <c r="F39" s="296"/>
      <c r="G39" s="36">
        <f t="shared" si="1"/>
        <v>0</v>
      </c>
      <c r="J39" s="15">
        <f t="shared" si="33"/>
        <v>0</v>
      </c>
      <c r="K39" s="15">
        <f t="shared" si="34"/>
        <v>0</v>
      </c>
      <c r="M39" s="16">
        <f t="shared" si="35"/>
        <v>0</v>
      </c>
      <c r="N39" s="16">
        <f t="shared" si="36"/>
        <v>0</v>
      </c>
      <c r="P39" s="17">
        <f t="shared" si="37"/>
        <v>0</v>
      </c>
      <c r="Q39" s="17">
        <f t="shared" si="38"/>
        <v>0</v>
      </c>
      <c r="R39" s="39"/>
      <c r="S39" s="38">
        <f t="shared" si="39"/>
        <v>0</v>
      </c>
      <c r="T39" s="38">
        <f t="shared" si="40"/>
        <v>0</v>
      </c>
      <c r="U39" s="7"/>
    </row>
    <row r="40" spans="1:21">
      <c r="A40" s="7" t="s">
        <v>788</v>
      </c>
      <c r="B40" s="8">
        <f>C40*(1+$B$2)</f>
        <v>1.125</v>
      </c>
      <c r="C40" s="8">
        <f t="shared" si="32"/>
        <v>0.75</v>
      </c>
      <c r="D40" s="13">
        <v>0.75</v>
      </c>
      <c r="F40" s="296"/>
      <c r="G40" s="36">
        <f t="shared" si="1"/>
        <v>19.950000000000003</v>
      </c>
      <c r="I40" s="10">
        <v>1.33</v>
      </c>
      <c r="J40" s="15">
        <f t="shared" si="33"/>
        <v>0.99750000000000005</v>
      </c>
      <c r="K40" s="15">
        <f t="shared" si="34"/>
        <v>1.4962500000000001</v>
      </c>
      <c r="M40" s="16">
        <f t="shared" si="35"/>
        <v>0</v>
      </c>
      <c r="N40" s="16">
        <f t="shared" si="36"/>
        <v>0</v>
      </c>
      <c r="P40" s="17">
        <f t="shared" si="37"/>
        <v>0</v>
      </c>
      <c r="Q40" s="17">
        <f t="shared" si="38"/>
        <v>0</v>
      </c>
      <c r="R40" s="39"/>
      <c r="S40" s="38">
        <f t="shared" si="39"/>
        <v>0</v>
      </c>
      <c r="T40" s="38">
        <f t="shared" si="40"/>
        <v>0</v>
      </c>
      <c r="U40" s="7"/>
    </row>
    <row r="41" spans="1:21">
      <c r="A41" s="7" t="s">
        <v>789</v>
      </c>
      <c r="B41" s="8">
        <f t="shared" ref="B41:B42" si="41">C41*(1+$B$2)</f>
        <v>1.6949999999999998</v>
      </c>
      <c r="C41" s="8">
        <f t="shared" si="32"/>
        <v>1.1299999999999999</v>
      </c>
      <c r="D41" s="8">
        <v>1.1299999999999999</v>
      </c>
      <c r="F41" s="296"/>
      <c r="G41" s="36">
        <f t="shared" si="1"/>
        <v>19.950000000000003</v>
      </c>
      <c r="I41" s="10">
        <v>1.33</v>
      </c>
      <c r="J41" s="15">
        <f t="shared" si="33"/>
        <v>1.5028999999999999</v>
      </c>
      <c r="K41" s="15">
        <f t="shared" si="34"/>
        <v>2.2543500000000001</v>
      </c>
      <c r="M41" s="16">
        <f t="shared" si="35"/>
        <v>0</v>
      </c>
      <c r="N41" s="16">
        <f t="shared" si="36"/>
        <v>0</v>
      </c>
      <c r="P41" s="17">
        <f t="shared" si="37"/>
        <v>0</v>
      </c>
      <c r="Q41" s="17">
        <f t="shared" si="38"/>
        <v>0</v>
      </c>
      <c r="R41" s="39"/>
      <c r="S41" s="38">
        <f t="shared" si="39"/>
        <v>0</v>
      </c>
      <c r="T41" s="38">
        <f t="shared" si="40"/>
        <v>0</v>
      </c>
      <c r="U41" s="7"/>
    </row>
    <row r="42" spans="1:21">
      <c r="A42" s="7" t="s">
        <v>790</v>
      </c>
      <c r="B42" s="8">
        <f t="shared" si="41"/>
        <v>1.7249999999999999</v>
      </c>
      <c r="C42" s="8">
        <f t="shared" si="32"/>
        <v>1.1499999999999999</v>
      </c>
      <c r="D42" s="8">
        <v>1.1000000000000001</v>
      </c>
      <c r="E42" s="8">
        <v>1.2</v>
      </c>
      <c r="F42" s="297"/>
      <c r="G42" s="36">
        <f t="shared" si="1"/>
        <v>19.950000000000003</v>
      </c>
      <c r="I42" s="10">
        <v>1.33</v>
      </c>
      <c r="J42" s="15">
        <f t="shared" si="33"/>
        <v>1.5294999999999999</v>
      </c>
      <c r="K42" s="15">
        <f t="shared" si="34"/>
        <v>2.2942499999999999</v>
      </c>
      <c r="M42" s="16">
        <f t="shared" si="35"/>
        <v>0</v>
      </c>
      <c r="N42" s="16">
        <f t="shared" si="36"/>
        <v>0</v>
      </c>
      <c r="P42" s="17">
        <f t="shared" si="37"/>
        <v>0</v>
      </c>
      <c r="Q42" s="17">
        <f t="shared" si="38"/>
        <v>0</v>
      </c>
      <c r="R42" s="39"/>
      <c r="S42" s="38">
        <f t="shared" si="39"/>
        <v>0</v>
      </c>
      <c r="T42" s="38">
        <f t="shared" si="40"/>
        <v>0</v>
      </c>
      <c r="U42" s="7"/>
    </row>
    <row r="43" spans="1:21" ht="21">
      <c r="A43" s="59" t="s">
        <v>148</v>
      </c>
      <c r="G43" s="36">
        <f t="shared" si="1"/>
        <v>0</v>
      </c>
    </row>
    <row r="44" spans="1:21">
      <c r="A44" s="7" t="s">
        <v>791</v>
      </c>
      <c r="B44" s="8">
        <f t="shared" ref="B44:B52" si="42">C44*(1+$B$2)</f>
        <v>2.25</v>
      </c>
      <c r="C44" s="8">
        <f t="shared" ref="C44:C52" si="43">AVERAGE(D44:E44)</f>
        <v>1.5</v>
      </c>
      <c r="D44" s="13">
        <v>1.5</v>
      </c>
      <c r="F44" s="295"/>
      <c r="G44" s="36">
        <f t="shared" si="1"/>
        <v>15</v>
      </c>
      <c r="I44" s="10">
        <v>1</v>
      </c>
      <c r="J44" s="15">
        <f t="shared" ref="J44:J52" si="44">I44*C44</f>
        <v>1.5</v>
      </c>
      <c r="K44" s="15">
        <f t="shared" ref="K44:K52" si="45">I44*B44</f>
        <v>2.25</v>
      </c>
      <c r="M44" s="16">
        <f t="shared" ref="M44:M52" si="46">L44*C44</f>
        <v>0</v>
      </c>
      <c r="N44" s="16">
        <f t="shared" ref="N44:N52" si="47">L44*B44</f>
        <v>0</v>
      </c>
      <c r="P44" s="17">
        <f t="shared" ref="P44:P52" si="48">O44*C44</f>
        <v>0</v>
      </c>
      <c r="Q44" s="17">
        <f t="shared" ref="Q44:Q52" si="49">O44*B44</f>
        <v>0</v>
      </c>
      <c r="R44" s="39"/>
      <c r="S44" s="38">
        <f t="shared" ref="S44:S52" si="50">R44*C44</f>
        <v>0</v>
      </c>
      <c r="T44" s="38">
        <f t="shared" ref="T44:T52" si="51">R44*B44</f>
        <v>0</v>
      </c>
      <c r="U44" s="7"/>
    </row>
    <row r="45" spans="1:21">
      <c r="A45" s="7" t="s">
        <v>792</v>
      </c>
      <c r="B45" s="8">
        <f t="shared" si="42"/>
        <v>1.6500000000000001</v>
      </c>
      <c r="C45" s="8">
        <f t="shared" si="43"/>
        <v>1.1000000000000001</v>
      </c>
      <c r="D45" s="60">
        <v>1.1000000000000001</v>
      </c>
      <c r="F45" s="296"/>
      <c r="G45" s="36">
        <f t="shared" si="1"/>
        <v>15</v>
      </c>
      <c r="I45" s="10">
        <v>1</v>
      </c>
      <c r="J45" s="15">
        <f t="shared" si="44"/>
        <v>1.1000000000000001</v>
      </c>
      <c r="K45" s="15">
        <f t="shared" si="45"/>
        <v>1.6500000000000001</v>
      </c>
      <c r="M45" s="16">
        <f t="shared" si="46"/>
        <v>0</v>
      </c>
      <c r="N45" s="16">
        <f t="shared" si="47"/>
        <v>0</v>
      </c>
      <c r="P45" s="17">
        <f t="shared" si="48"/>
        <v>0</v>
      </c>
      <c r="Q45" s="17">
        <f t="shared" si="49"/>
        <v>0</v>
      </c>
      <c r="R45" s="39"/>
      <c r="S45" s="38">
        <f t="shared" si="50"/>
        <v>0</v>
      </c>
      <c r="T45" s="38">
        <f t="shared" si="51"/>
        <v>0</v>
      </c>
      <c r="U45" s="7"/>
    </row>
    <row r="46" spans="1:21">
      <c r="A46" s="7" t="s">
        <v>793</v>
      </c>
      <c r="B46" s="8">
        <f t="shared" si="42"/>
        <v>1.6500000000000001</v>
      </c>
      <c r="C46" s="8">
        <f t="shared" si="43"/>
        <v>1.1000000000000001</v>
      </c>
      <c r="D46" s="60">
        <v>1.1000000000000001</v>
      </c>
      <c r="F46" s="296"/>
      <c r="G46" s="36">
        <f t="shared" si="1"/>
        <v>0</v>
      </c>
      <c r="J46" s="15">
        <f t="shared" si="44"/>
        <v>0</v>
      </c>
      <c r="K46" s="15">
        <f t="shared" si="45"/>
        <v>0</v>
      </c>
      <c r="M46" s="16">
        <f t="shared" si="46"/>
        <v>0</v>
      </c>
      <c r="N46" s="16">
        <f t="shared" si="47"/>
        <v>0</v>
      </c>
      <c r="P46" s="17">
        <f t="shared" si="48"/>
        <v>0</v>
      </c>
      <c r="Q46" s="17">
        <f t="shared" si="49"/>
        <v>0</v>
      </c>
      <c r="R46" s="39"/>
      <c r="S46" s="38">
        <f t="shared" si="50"/>
        <v>0</v>
      </c>
      <c r="T46" s="38">
        <f t="shared" si="51"/>
        <v>0</v>
      </c>
      <c r="U46" s="7"/>
    </row>
    <row r="47" spans="1:21">
      <c r="A47" s="7" t="s">
        <v>794</v>
      </c>
      <c r="B47" s="8">
        <f t="shared" si="42"/>
        <v>1.875</v>
      </c>
      <c r="C47" s="8">
        <f t="shared" si="43"/>
        <v>1.25</v>
      </c>
      <c r="D47" s="60">
        <v>1.25</v>
      </c>
      <c r="F47" s="296"/>
      <c r="G47" s="36">
        <f t="shared" si="1"/>
        <v>0</v>
      </c>
      <c r="J47" s="15">
        <f t="shared" si="44"/>
        <v>0</v>
      </c>
      <c r="K47" s="15">
        <f t="shared" si="45"/>
        <v>0</v>
      </c>
      <c r="M47" s="16">
        <f t="shared" si="46"/>
        <v>0</v>
      </c>
      <c r="N47" s="16">
        <f t="shared" si="47"/>
        <v>0</v>
      </c>
      <c r="P47" s="17">
        <f t="shared" si="48"/>
        <v>0</v>
      </c>
      <c r="Q47" s="17">
        <f t="shared" si="49"/>
        <v>0</v>
      </c>
      <c r="R47" s="39"/>
      <c r="S47" s="38">
        <f t="shared" si="50"/>
        <v>0</v>
      </c>
      <c r="T47" s="38">
        <f t="shared" si="51"/>
        <v>0</v>
      </c>
      <c r="U47" s="7"/>
    </row>
    <row r="48" spans="1:21">
      <c r="A48" s="7" t="s">
        <v>795</v>
      </c>
      <c r="B48" s="8">
        <f t="shared" si="42"/>
        <v>2.25</v>
      </c>
      <c r="C48" s="8">
        <f t="shared" si="43"/>
        <v>1.5</v>
      </c>
      <c r="D48" s="13">
        <v>1.5</v>
      </c>
      <c r="F48" s="296"/>
      <c r="G48" s="36">
        <f t="shared" si="1"/>
        <v>15</v>
      </c>
      <c r="I48" s="10">
        <v>1</v>
      </c>
      <c r="J48" s="15">
        <f t="shared" si="44"/>
        <v>1.5</v>
      </c>
      <c r="K48" s="15">
        <f t="shared" si="45"/>
        <v>2.25</v>
      </c>
      <c r="M48" s="16">
        <f t="shared" si="46"/>
        <v>0</v>
      </c>
      <c r="N48" s="16">
        <f t="shared" si="47"/>
        <v>0</v>
      </c>
      <c r="P48" s="17">
        <f t="shared" si="48"/>
        <v>0</v>
      </c>
      <c r="Q48" s="17">
        <f t="shared" si="49"/>
        <v>0</v>
      </c>
      <c r="R48" s="39"/>
      <c r="S48" s="38">
        <f t="shared" si="50"/>
        <v>0</v>
      </c>
      <c r="T48" s="38">
        <f t="shared" si="51"/>
        <v>0</v>
      </c>
      <c r="U48" s="7"/>
    </row>
    <row r="49" spans="1:26">
      <c r="A49" s="7" t="s">
        <v>796</v>
      </c>
      <c r="B49" s="8">
        <f t="shared" si="42"/>
        <v>1.875</v>
      </c>
      <c r="C49" s="8">
        <f t="shared" si="43"/>
        <v>1.25</v>
      </c>
      <c r="D49" s="60">
        <v>1.25</v>
      </c>
      <c r="F49" s="296"/>
      <c r="G49" s="36">
        <f t="shared" si="1"/>
        <v>15</v>
      </c>
      <c r="I49" s="10">
        <v>1</v>
      </c>
      <c r="J49" s="15">
        <f t="shared" si="44"/>
        <v>1.25</v>
      </c>
      <c r="K49" s="15">
        <f t="shared" si="45"/>
        <v>1.875</v>
      </c>
      <c r="M49" s="16">
        <f t="shared" si="46"/>
        <v>0</v>
      </c>
      <c r="N49" s="16">
        <f t="shared" si="47"/>
        <v>0</v>
      </c>
      <c r="P49" s="17">
        <f t="shared" si="48"/>
        <v>0</v>
      </c>
      <c r="Q49" s="17">
        <f t="shared" si="49"/>
        <v>0</v>
      </c>
      <c r="R49" s="39"/>
      <c r="S49" s="38">
        <f t="shared" si="50"/>
        <v>0</v>
      </c>
      <c r="T49" s="38">
        <f t="shared" si="51"/>
        <v>0</v>
      </c>
      <c r="U49" s="7"/>
    </row>
    <row r="50" spans="1:26">
      <c r="A50" s="7" t="s">
        <v>59</v>
      </c>
      <c r="B50" s="8">
        <f t="shared" si="42"/>
        <v>1.6500000000000001</v>
      </c>
      <c r="C50" s="8">
        <f t="shared" si="43"/>
        <v>1.1000000000000001</v>
      </c>
      <c r="D50" s="60"/>
      <c r="E50" s="8">
        <v>1.1000000000000001</v>
      </c>
      <c r="F50" s="296"/>
      <c r="G50" s="36">
        <f t="shared" si="1"/>
        <v>0</v>
      </c>
      <c r="J50" s="15">
        <f t="shared" si="44"/>
        <v>0</v>
      </c>
      <c r="K50" s="15">
        <f t="shared" si="45"/>
        <v>0</v>
      </c>
      <c r="M50" s="16">
        <f t="shared" si="46"/>
        <v>0</v>
      </c>
      <c r="N50" s="16">
        <f t="shared" si="47"/>
        <v>0</v>
      </c>
      <c r="P50" s="17">
        <f t="shared" si="48"/>
        <v>0</v>
      </c>
      <c r="Q50" s="17">
        <f t="shared" si="49"/>
        <v>0</v>
      </c>
      <c r="R50" s="39"/>
      <c r="S50" s="38">
        <f t="shared" si="50"/>
        <v>0</v>
      </c>
      <c r="T50" s="38">
        <f t="shared" si="51"/>
        <v>0</v>
      </c>
      <c r="U50" s="7"/>
    </row>
    <row r="51" spans="1:26">
      <c r="A51" s="7" t="s">
        <v>797</v>
      </c>
      <c r="B51" s="8">
        <f t="shared" si="42"/>
        <v>1.9500000000000002</v>
      </c>
      <c r="C51" s="8">
        <f t="shared" si="43"/>
        <v>1.3</v>
      </c>
      <c r="D51" s="60">
        <v>1.3</v>
      </c>
      <c r="F51" s="296"/>
      <c r="G51" s="36">
        <f t="shared" si="1"/>
        <v>0</v>
      </c>
      <c r="J51" s="15">
        <f t="shared" si="44"/>
        <v>0</v>
      </c>
      <c r="K51" s="15">
        <f t="shared" si="45"/>
        <v>0</v>
      </c>
      <c r="M51" s="16">
        <f t="shared" si="46"/>
        <v>0</v>
      </c>
      <c r="N51" s="16">
        <f t="shared" si="47"/>
        <v>0</v>
      </c>
      <c r="P51" s="17">
        <f t="shared" si="48"/>
        <v>0</v>
      </c>
      <c r="Q51" s="17">
        <f t="shared" si="49"/>
        <v>0</v>
      </c>
      <c r="R51" s="39"/>
      <c r="S51" s="38">
        <f t="shared" si="50"/>
        <v>0</v>
      </c>
      <c r="T51" s="38">
        <f t="shared" si="51"/>
        <v>0</v>
      </c>
      <c r="U51" s="7"/>
    </row>
    <row r="52" spans="1:26">
      <c r="A52" s="7" t="s">
        <v>798</v>
      </c>
      <c r="B52" s="8">
        <f t="shared" si="42"/>
        <v>1.875</v>
      </c>
      <c r="C52" s="8">
        <f t="shared" si="43"/>
        <v>1.25</v>
      </c>
      <c r="D52" s="13">
        <v>1.25</v>
      </c>
      <c r="F52" s="297"/>
      <c r="G52" s="36">
        <f t="shared" si="1"/>
        <v>0</v>
      </c>
      <c r="J52" s="15">
        <f t="shared" si="44"/>
        <v>0</v>
      </c>
      <c r="K52" s="15">
        <f t="shared" si="45"/>
        <v>0</v>
      </c>
      <c r="M52" s="16">
        <f t="shared" si="46"/>
        <v>0</v>
      </c>
      <c r="N52" s="16">
        <f t="shared" si="47"/>
        <v>0</v>
      </c>
      <c r="P52" s="17">
        <f t="shared" si="48"/>
        <v>0</v>
      </c>
      <c r="Q52" s="17">
        <f t="shared" si="49"/>
        <v>0</v>
      </c>
      <c r="R52" s="39"/>
      <c r="S52" s="38">
        <f t="shared" si="50"/>
        <v>0</v>
      </c>
      <c r="T52" s="38">
        <f t="shared" si="51"/>
        <v>0</v>
      </c>
      <c r="U52" s="7"/>
    </row>
    <row r="53" spans="1:26">
      <c r="R53" s="39"/>
      <c r="S53" s="39"/>
      <c r="T53" s="39"/>
      <c r="U53" s="7"/>
    </row>
    <row r="54" spans="1:26" s="19" customFormat="1">
      <c r="A54" s="19" t="s">
        <v>799</v>
      </c>
      <c r="B54" s="18"/>
      <c r="C54" s="18"/>
      <c r="D54" s="18"/>
      <c r="E54" s="18"/>
      <c r="F54" s="18"/>
      <c r="G54" s="35"/>
      <c r="H54" s="21"/>
      <c r="I54" s="24"/>
      <c r="J54" s="24" t="e">
        <f>SUM(J4:J52)</f>
        <v>#DIV/0!</v>
      </c>
      <c r="K54" s="24" t="e">
        <f>SUM(K4:K52)</f>
        <v>#DIV/0!</v>
      </c>
      <c r="L54" s="25"/>
      <c r="M54" s="25" t="e">
        <f>SUM(M4:M52)</f>
        <v>#DIV/0!</v>
      </c>
      <c r="N54" s="25" t="e">
        <f>SUM(N4:N52)</f>
        <v>#DIV/0!</v>
      </c>
      <c r="O54" s="26"/>
      <c r="P54" s="26" t="e">
        <f>SUM(P4:P52)</f>
        <v>#DIV/0!</v>
      </c>
      <c r="Q54" s="26" t="e">
        <f>SUM(Q4:Q52)</f>
        <v>#DIV/0!</v>
      </c>
      <c r="R54" s="61"/>
      <c r="S54" s="61" t="e">
        <f>SUM(S4:S52)</f>
        <v>#DIV/0!</v>
      </c>
      <c r="T54" s="61" t="e">
        <f>SUM(T4:T52)</f>
        <v>#DIV/0!</v>
      </c>
      <c r="U54" s="61"/>
      <c r="V54" s="21"/>
      <c r="W54" s="40"/>
      <c r="X54" s="40"/>
      <c r="Y54" s="40"/>
    </row>
    <row r="55" spans="1:26">
      <c r="A55" s="7" t="s">
        <v>800</v>
      </c>
      <c r="B55" s="286" t="s">
        <v>801</v>
      </c>
      <c r="C55" s="287"/>
      <c r="D55" s="287"/>
      <c r="E55" s="287"/>
      <c r="F55" s="287"/>
      <c r="G55" s="287"/>
      <c r="H55" s="288"/>
      <c r="I55" s="31"/>
      <c r="J55" s="31">
        <f>(20*1.33)*(7.5/60)</f>
        <v>3.3250000000000002</v>
      </c>
      <c r="K55" s="31">
        <f>((20*1.33)*7/60)*1.5</f>
        <v>4.6550000000000002</v>
      </c>
      <c r="L55" s="32"/>
      <c r="M55" s="32">
        <f>(20*1.33)*5/60</f>
        <v>2.2166666666666668</v>
      </c>
      <c r="N55" s="32">
        <f>(20*1.33)*7/60</f>
        <v>3.1033333333333335</v>
      </c>
      <c r="O55" s="33"/>
      <c r="P55" s="33">
        <f>(20*1.33)*5/60</f>
        <v>2.2166666666666668</v>
      </c>
      <c r="Q55" s="33">
        <f>((20*1.33)*5/60)*1.5</f>
        <v>3.3250000000000002</v>
      </c>
      <c r="R55" s="41"/>
      <c r="S55" s="41">
        <f>(20*1.33)*3/60</f>
        <v>1.3300000000000003</v>
      </c>
      <c r="T55" s="41">
        <f>((20*1.33)*3/60)*1.5</f>
        <v>1.9950000000000006</v>
      </c>
      <c r="U55" s="41"/>
      <c r="V55" s="41"/>
      <c r="W55" s="41"/>
      <c r="X55" s="41"/>
      <c r="Y55" s="41"/>
    </row>
    <row r="56" spans="1:26" s="49" customFormat="1" ht="19">
      <c r="A56" s="49" t="s">
        <v>802</v>
      </c>
      <c r="B56" s="45"/>
      <c r="C56" s="45"/>
      <c r="D56" s="45"/>
      <c r="E56" s="45"/>
      <c r="F56" s="45"/>
      <c r="G56" s="47"/>
      <c r="H56" s="46"/>
      <c r="I56" s="54"/>
      <c r="J56" s="54" t="e">
        <f t="shared" ref="J56:Q56" si="52">SUM(J54:J55)</f>
        <v>#DIV/0!</v>
      </c>
      <c r="K56" s="54" t="e">
        <f t="shared" si="52"/>
        <v>#DIV/0!</v>
      </c>
      <c r="L56" s="55"/>
      <c r="M56" s="55" t="e">
        <f t="shared" si="52"/>
        <v>#DIV/0!</v>
      </c>
      <c r="N56" s="55" t="e">
        <f t="shared" si="52"/>
        <v>#DIV/0!</v>
      </c>
      <c r="O56" s="56"/>
      <c r="P56" s="56" t="e">
        <f t="shared" si="52"/>
        <v>#DIV/0!</v>
      </c>
      <c r="Q56" s="56" t="e">
        <f t="shared" si="52"/>
        <v>#DIV/0!</v>
      </c>
      <c r="R56" s="57"/>
      <c r="S56" s="57" t="e">
        <f t="shared" ref="S56:T56" si="53">SUM(S54:S55)</f>
        <v>#DIV/0!</v>
      </c>
      <c r="T56" s="57" t="e">
        <f t="shared" si="53"/>
        <v>#DIV/0!</v>
      </c>
      <c r="U56" s="57"/>
      <c r="V56" s="46"/>
      <c r="W56" s="57"/>
      <c r="X56" s="57"/>
      <c r="Y56" s="57"/>
      <c r="Z56" s="58"/>
    </row>
    <row r="57" spans="1:26">
      <c r="I57" s="28"/>
      <c r="J57" s="28"/>
      <c r="K57" s="28"/>
      <c r="L57" s="29"/>
      <c r="M57" s="29"/>
      <c r="N57" s="29"/>
      <c r="O57" s="13"/>
      <c r="P57" s="13"/>
      <c r="Q57" s="13"/>
      <c r="R57" s="42"/>
      <c r="S57" s="42"/>
      <c r="T57" s="42"/>
      <c r="U57" s="7"/>
    </row>
    <row r="58" spans="1:26">
      <c r="A58" s="7" t="s">
        <v>803</v>
      </c>
      <c r="I58" s="28"/>
      <c r="J58" s="28"/>
      <c r="K58" s="28"/>
      <c r="L58" s="29"/>
      <c r="M58" s="29"/>
      <c r="N58" s="29"/>
      <c r="O58" s="13"/>
      <c r="P58" s="13"/>
      <c r="Q58" s="13"/>
      <c r="R58" s="42"/>
      <c r="S58" s="42"/>
      <c r="T58" s="42"/>
      <c r="U58" s="7"/>
    </row>
    <row r="59" spans="1:26">
      <c r="A59" s="7" t="s">
        <v>804</v>
      </c>
      <c r="I59" s="28"/>
      <c r="J59" s="28"/>
      <c r="K59" s="28"/>
      <c r="L59" s="29"/>
      <c r="M59" s="29"/>
      <c r="N59" s="29"/>
      <c r="O59" s="13"/>
      <c r="P59" s="13"/>
      <c r="Q59" s="13"/>
      <c r="R59" s="42"/>
      <c r="S59" s="42"/>
      <c r="T59" s="42"/>
      <c r="U59" s="7"/>
    </row>
    <row r="60" spans="1:26">
      <c r="R60" s="39"/>
      <c r="S60" s="39"/>
      <c r="T60" s="39"/>
      <c r="U60" s="7"/>
    </row>
    <row r="61" spans="1:26">
      <c r="R61" s="39"/>
      <c r="S61" s="39"/>
      <c r="T61" s="39"/>
      <c r="U61" s="7"/>
    </row>
    <row r="62" spans="1:26">
      <c r="B62" s="13"/>
      <c r="C62" s="8" t="s">
        <v>805</v>
      </c>
      <c r="R62" s="39"/>
      <c r="S62" s="39"/>
      <c r="T62" s="39"/>
      <c r="U62" s="7"/>
    </row>
    <row r="63" spans="1:26">
      <c r="R63" s="39"/>
      <c r="S63" s="39"/>
      <c r="T63" s="39"/>
      <c r="U63" s="7"/>
    </row>
  </sheetData>
  <mergeCells count="11">
    <mergeCell ref="R2:T2"/>
    <mergeCell ref="B55:H55"/>
    <mergeCell ref="F3:F9"/>
    <mergeCell ref="F11:F16"/>
    <mergeCell ref="F18:F25"/>
    <mergeCell ref="F28:F35"/>
    <mergeCell ref="F37:F42"/>
    <mergeCell ref="F44:F52"/>
    <mergeCell ref="I2:K2"/>
    <mergeCell ref="L2:N2"/>
    <mergeCell ref="O2:Q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4C89-D4DD-A94D-95BC-F94C66F61EBD}">
  <sheetPr codeName="Sheet15"/>
  <dimension ref="A1"/>
  <sheetViews>
    <sheetView workbookViewId="0"/>
  </sheetViews>
  <sheetFormatPr baseColWidth="10" defaultColWidth="11" defaultRowHeight="16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5D5A-F08C-C24F-B68E-E5A6BE3ADA13}">
  <sheetPr codeName="Sheet16"/>
  <dimension ref="A1"/>
  <sheetViews>
    <sheetView workbookViewId="0"/>
  </sheetViews>
  <sheetFormatPr baseColWidth="10" defaultColWidth="11" defaultRowHeight="16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6E0-7181-7C4E-9A94-D3B044EBA351}">
  <sheetPr codeName="Sheet17"/>
  <dimension ref="A1"/>
  <sheetViews>
    <sheetView workbookViewId="0">
      <selection activeCell="R48" sqref="R48"/>
    </sheetView>
  </sheetViews>
  <sheetFormatPr baseColWidth="10" defaultColWidth="11" defaultRowHeight="16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5B30-AD69-8248-8944-165F76273C58}">
  <sheetPr codeName="Sheet18"/>
  <dimension ref="A1:AD42"/>
  <sheetViews>
    <sheetView zoomScale="99" workbookViewId="0">
      <pane xSplit="1" topLeftCell="B1" activePane="topRight" state="frozen"/>
      <selection pane="topRight" activeCell="A10" sqref="A10"/>
    </sheetView>
  </sheetViews>
  <sheetFormatPr baseColWidth="10" defaultColWidth="10.83203125" defaultRowHeight="16"/>
  <cols>
    <col min="1" max="1" width="20.83203125" style="7" customWidth="1"/>
    <col min="2" max="2" width="10.33203125" style="8" customWidth="1"/>
    <col min="3" max="5" width="10" style="8" customWidth="1"/>
    <col min="6" max="6" width="10.83203125" style="22"/>
    <col min="7" max="7" width="10.83203125" style="36"/>
    <col min="8" max="9" width="10.83203125" style="22" customWidth="1"/>
    <col min="10" max="12" width="10.83203125" style="9" customWidth="1"/>
    <col min="13" max="15" width="10.83203125" style="10" customWidth="1"/>
    <col min="16" max="18" width="10.83203125" style="11" customWidth="1"/>
    <col min="19" max="21" width="10.83203125" style="12" customWidth="1"/>
    <col min="22" max="24" width="10.83203125" style="43" customWidth="1"/>
    <col min="25" max="25" width="11"/>
    <col min="26" max="29" width="10.83203125" style="7"/>
    <col min="30" max="30" width="11" customWidth="1"/>
    <col min="31" max="16384" width="10.83203125" style="7"/>
  </cols>
  <sheetData>
    <row r="1" spans="1:29" s="1" customFormat="1" ht="75.75" customHeight="1">
      <c r="A1" s="1" t="s">
        <v>6</v>
      </c>
      <c r="B1" s="2" t="s">
        <v>743</v>
      </c>
      <c r="C1" s="2" t="s">
        <v>744</v>
      </c>
      <c r="D1" s="2" t="s">
        <v>745</v>
      </c>
      <c r="E1" s="2" t="s">
        <v>746</v>
      </c>
      <c r="F1" s="1" t="s">
        <v>806</v>
      </c>
      <c r="G1" s="34" t="s">
        <v>748</v>
      </c>
      <c r="H1" s="1" t="s">
        <v>807</v>
      </c>
      <c r="I1" s="1" t="s">
        <v>808</v>
      </c>
      <c r="J1" s="3" t="s">
        <v>809</v>
      </c>
      <c r="K1" s="3" t="s">
        <v>810</v>
      </c>
      <c r="L1" s="3" t="s">
        <v>811</v>
      </c>
      <c r="M1" s="4" t="s">
        <v>812</v>
      </c>
      <c r="N1" s="4" t="s">
        <v>813</v>
      </c>
      <c r="O1" s="4" t="s">
        <v>814</v>
      </c>
      <c r="P1" s="5" t="s">
        <v>755</v>
      </c>
      <c r="Q1" s="5" t="s">
        <v>753</v>
      </c>
      <c r="R1" s="5" t="s">
        <v>815</v>
      </c>
      <c r="S1" s="6" t="s">
        <v>816</v>
      </c>
      <c r="T1" s="6" t="s">
        <v>817</v>
      </c>
      <c r="U1" s="6" t="s">
        <v>818</v>
      </c>
      <c r="V1" s="37" t="s">
        <v>819</v>
      </c>
      <c r="W1" s="37" t="s">
        <v>820</v>
      </c>
      <c r="X1" s="37" t="s">
        <v>821</v>
      </c>
      <c r="Y1" s="1" t="s">
        <v>822</v>
      </c>
      <c r="Z1" s="1" t="s">
        <v>823</v>
      </c>
      <c r="AA1" s="1" t="s">
        <v>824</v>
      </c>
      <c r="AB1" s="1" t="s">
        <v>825</v>
      </c>
      <c r="AC1" s="1" t="s">
        <v>826</v>
      </c>
    </row>
    <row r="2" spans="1:29" s="49" customFormat="1" ht="19">
      <c r="A2" s="44" t="s">
        <v>827</v>
      </c>
      <c r="B2" s="45">
        <v>0.5</v>
      </c>
      <c r="C2" s="45"/>
      <c r="D2" s="45"/>
      <c r="E2" s="45"/>
      <c r="F2" s="46"/>
      <c r="G2" s="47"/>
      <c r="H2" s="46"/>
      <c r="I2" s="46"/>
      <c r="J2" s="307">
        <v>24</v>
      </c>
      <c r="K2" s="308"/>
      <c r="L2" s="309"/>
      <c r="M2" s="298">
        <v>10</v>
      </c>
      <c r="N2" s="299"/>
      <c r="O2" s="300"/>
      <c r="P2" s="301">
        <v>10</v>
      </c>
      <c r="Q2" s="302"/>
      <c r="R2" s="303"/>
      <c r="S2" s="304">
        <v>18</v>
      </c>
      <c r="T2" s="305"/>
      <c r="U2" s="306"/>
      <c r="V2" s="283">
        <v>40</v>
      </c>
      <c r="W2" s="284"/>
      <c r="X2" s="285"/>
      <c r="Y2" s="48">
        <v>1</v>
      </c>
      <c r="Z2" s="48">
        <v>4</v>
      </c>
      <c r="AA2" s="48">
        <v>1</v>
      </c>
      <c r="AB2" s="48">
        <v>1</v>
      </c>
      <c r="AC2" s="48">
        <v>9</v>
      </c>
    </row>
    <row r="3" spans="1:29">
      <c r="A3" s="7" t="s">
        <v>828</v>
      </c>
      <c r="B3" s="8">
        <f t="shared" ref="B3:B31" si="0">C3*(1+$B$2)</f>
        <v>2.0625</v>
      </c>
      <c r="C3" s="8">
        <f t="shared" ref="C3:C24" si="1">AVERAGE(D3:E3)</f>
        <v>1.375</v>
      </c>
      <c r="D3" s="8">
        <v>1.5</v>
      </c>
      <c r="E3" s="8">
        <v>1.25</v>
      </c>
      <c r="F3" s="22">
        <v>175</v>
      </c>
      <c r="G3" s="36">
        <f>(I3)+(J3*$J$2)+(M3*$M$2)+(P3*$P$2)+(S3*$S$2)+(V3*$V$2)+(Y3*$Y$2)+(Z3*$Z$2)+(AA3*$AA$2)+(AB3*$AB$2)+(AC3*$AC$2)</f>
        <v>178</v>
      </c>
      <c r="H3" s="22">
        <f t="shared" ref="H3:H31" si="2">SUM(F3,-G3)</f>
        <v>-3</v>
      </c>
      <c r="J3" s="9">
        <v>1</v>
      </c>
      <c r="K3" s="14">
        <f t="shared" ref="K3:K31" si="3">J3*C3</f>
        <v>1.375</v>
      </c>
      <c r="L3" s="14">
        <f t="shared" ref="L3:L31" si="4">J3*B3</f>
        <v>2.0625</v>
      </c>
      <c r="M3" s="10">
        <v>2</v>
      </c>
      <c r="N3" s="15">
        <f t="shared" ref="N3:N31" si="5">M3*C3</f>
        <v>2.75</v>
      </c>
      <c r="O3" s="15">
        <f t="shared" ref="O3:O31" si="6">M3*B3</f>
        <v>4.125</v>
      </c>
      <c r="Q3" s="16">
        <f t="shared" ref="Q3:Q31" si="7">P3*C3</f>
        <v>0</v>
      </c>
      <c r="R3" s="16">
        <f t="shared" ref="R3:R31" si="8">P3*B3</f>
        <v>0</v>
      </c>
      <c r="S3" s="12">
        <v>2</v>
      </c>
      <c r="T3" s="17">
        <f t="shared" ref="T3:T31" si="9">S3*C3</f>
        <v>2.75</v>
      </c>
      <c r="U3" s="17">
        <f t="shared" ref="U3:U31" si="10">S3*B3</f>
        <v>4.125</v>
      </c>
      <c r="V3" s="39">
        <v>2</v>
      </c>
      <c r="W3" s="38">
        <f>V3*C3</f>
        <v>2.75</v>
      </c>
      <c r="X3" s="38">
        <f>V3*B3</f>
        <v>4.125</v>
      </c>
      <c r="Y3" s="7">
        <v>3</v>
      </c>
      <c r="Z3" s="7">
        <v>1</v>
      </c>
      <c r="AA3" s="7">
        <v>1</v>
      </c>
      <c r="AB3" s="7">
        <v>1</v>
      </c>
      <c r="AC3" s="7">
        <v>1</v>
      </c>
    </row>
    <row r="4" spans="1:29">
      <c r="A4" s="7" t="s">
        <v>829</v>
      </c>
      <c r="B4" s="8">
        <f t="shared" si="0"/>
        <v>2.1375000000000002</v>
      </c>
      <c r="C4" s="8">
        <f t="shared" si="1"/>
        <v>1.425</v>
      </c>
      <c r="D4" s="8">
        <v>1.5</v>
      </c>
      <c r="E4" s="8">
        <v>1.35</v>
      </c>
      <c r="F4" s="22">
        <v>211</v>
      </c>
      <c r="G4" s="36">
        <f>(I4)+(J4*$J$2)+(M4*$M$2)+(P4*$P$2)+(S4*$S$2)+(V4*$V$2)+(Y4*$Y$2)+(Z4*$Z$2)+(AA4*$AA$2)+(AB4*$AB$2)+(AC4*$AC$2)</f>
        <v>205</v>
      </c>
      <c r="H4" s="22">
        <f t="shared" si="2"/>
        <v>6</v>
      </c>
      <c r="J4" s="9">
        <v>1</v>
      </c>
      <c r="K4" s="14">
        <f t="shared" si="3"/>
        <v>1.425</v>
      </c>
      <c r="L4" s="14">
        <f t="shared" si="4"/>
        <v>2.1375000000000002</v>
      </c>
      <c r="M4" s="10">
        <v>2</v>
      </c>
      <c r="N4" s="15">
        <f t="shared" si="5"/>
        <v>2.85</v>
      </c>
      <c r="O4" s="15">
        <f t="shared" si="6"/>
        <v>4.2750000000000004</v>
      </c>
      <c r="Q4" s="16">
        <f t="shared" si="7"/>
        <v>0</v>
      </c>
      <c r="R4" s="16">
        <f t="shared" si="8"/>
        <v>0</v>
      </c>
      <c r="S4" s="12">
        <v>3</v>
      </c>
      <c r="T4" s="17">
        <f t="shared" si="9"/>
        <v>4.2750000000000004</v>
      </c>
      <c r="U4" s="17">
        <f t="shared" si="10"/>
        <v>6.4125000000000005</v>
      </c>
      <c r="V4" s="39">
        <v>2</v>
      </c>
      <c r="W4" s="38">
        <f t="shared" ref="W4:W31" si="11">V4*C4</f>
        <v>2.85</v>
      </c>
      <c r="X4" s="38">
        <f t="shared" ref="X4:X31" si="12">V4*B4</f>
        <v>4.2750000000000004</v>
      </c>
      <c r="Y4" s="7">
        <v>3</v>
      </c>
      <c r="Z4" s="7">
        <v>3</v>
      </c>
      <c r="AA4" s="7">
        <v>2</v>
      </c>
      <c r="AB4" s="7">
        <v>1</v>
      </c>
      <c r="AC4" s="7">
        <v>1</v>
      </c>
    </row>
    <row r="5" spans="1:29">
      <c r="A5" s="7" t="s">
        <v>830</v>
      </c>
      <c r="B5" s="8">
        <f t="shared" si="0"/>
        <v>1.875</v>
      </c>
      <c r="C5" s="8">
        <f t="shared" si="1"/>
        <v>1.25</v>
      </c>
      <c r="D5" s="8">
        <v>1.5</v>
      </c>
      <c r="E5" s="8">
        <v>1</v>
      </c>
      <c r="F5" s="22">
        <v>216</v>
      </c>
      <c r="G5" s="36">
        <f t="shared" ref="G5:G31" si="13">(I5)+(J5*$J$2)+(M5*$M$2)+(P5*$P$2)+(S5*$S$2)+(V5*$V$2)+(Y5*$Y$2)+(Z5*$Z$2)+(AA5*$AA$2)+(AB5*$AB$2)+(AC5*$AC$2)</f>
        <v>96</v>
      </c>
      <c r="H5" s="22">
        <f t="shared" si="2"/>
        <v>120</v>
      </c>
      <c r="J5" s="9">
        <v>3</v>
      </c>
      <c r="K5" s="14">
        <f t="shared" si="3"/>
        <v>3.75</v>
      </c>
      <c r="L5" s="14">
        <f t="shared" si="4"/>
        <v>5.625</v>
      </c>
      <c r="M5" s="10">
        <v>1</v>
      </c>
      <c r="N5" s="15">
        <f t="shared" si="5"/>
        <v>1.25</v>
      </c>
      <c r="O5" s="15">
        <f t="shared" si="6"/>
        <v>1.875</v>
      </c>
      <c r="Q5" s="16">
        <f t="shared" si="7"/>
        <v>0</v>
      </c>
      <c r="R5" s="16">
        <f t="shared" si="8"/>
        <v>0</v>
      </c>
      <c r="S5" s="12">
        <v>0</v>
      </c>
      <c r="T5" s="17">
        <f t="shared" si="9"/>
        <v>0</v>
      </c>
      <c r="U5" s="17">
        <f t="shared" si="10"/>
        <v>0</v>
      </c>
      <c r="V5" s="39">
        <v>0</v>
      </c>
      <c r="W5" s="38">
        <f t="shared" si="11"/>
        <v>0</v>
      </c>
      <c r="X5" s="38">
        <f t="shared" si="12"/>
        <v>0</v>
      </c>
      <c r="Y5" s="7">
        <v>2</v>
      </c>
      <c r="Z5" s="7">
        <v>2</v>
      </c>
      <c r="AA5" s="7">
        <v>2</v>
      </c>
      <c r="AB5" s="7">
        <v>2</v>
      </c>
      <c r="AC5" s="7">
        <v>0</v>
      </c>
    </row>
    <row r="6" spans="1:29">
      <c r="A6" s="7" t="s">
        <v>831</v>
      </c>
      <c r="B6" s="8">
        <f t="shared" si="0"/>
        <v>2.8499999999999996</v>
      </c>
      <c r="C6" s="8">
        <f t="shared" si="1"/>
        <v>1.9</v>
      </c>
      <c r="D6" s="8">
        <v>1.5</v>
      </c>
      <c r="E6" s="8">
        <v>2.2999999999999998</v>
      </c>
      <c r="F6" s="22">
        <v>400</v>
      </c>
      <c r="G6" s="36">
        <f t="shared" si="13"/>
        <v>308</v>
      </c>
      <c r="H6" s="22">
        <f t="shared" si="2"/>
        <v>92</v>
      </c>
      <c r="J6" s="9">
        <v>2</v>
      </c>
      <c r="K6" s="14">
        <f t="shared" si="3"/>
        <v>3.8</v>
      </c>
      <c r="L6" s="14">
        <f t="shared" si="4"/>
        <v>5.6999999999999993</v>
      </c>
      <c r="M6" s="10">
        <v>3</v>
      </c>
      <c r="N6" s="15">
        <f t="shared" si="5"/>
        <v>5.6999999999999993</v>
      </c>
      <c r="O6" s="15">
        <f t="shared" si="6"/>
        <v>8.5499999999999989</v>
      </c>
      <c r="Q6" s="16">
        <f t="shared" si="7"/>
        <v>0</v>
      </c>
      <c r="R6" s="16">
        <f t="shared" si="8"/>
        <v>0</v>
      </c>
      <c r="S6" s="12">
        <v>5</v>
      </c>
      <c r="T6" s="17">
        <f t="shared" si="9"/>
        <v>9.5</v>
      </c>
      <c r="U6" s="17">
        <f t="shared" si="10"/>
        <v>14.249999999999998</v>
      </c>
      <c r="V6" s="39">
        <v>3</v>
      </c>
      <c r="W6" s="38">
        <f t="shared" si="11"/>
        <v>5.6999999999999993</v>
      </c>
      <c r="X6" s="38">
        <f t="shared" si="12"/>
        <v>8.5499999999999989</v>
      </c>
      <c r="Y6" s="7">
        <v>3</v>
      </c>
      <c r="Z6" s="7">
        <v>3</v>
      </c>
      <c r="AA6" s="7">
        <v>2</v>
      </c>
      <c r="AB6" s="7">
        <v>3</v>
      </c>
      <c r="AC6" s="7">
        <v>0</v>
      </c>
    </row>
    <row r="7" spans="1:29">
      <c r="A7" s="7" t="s">
        <v>768</v>
      </c>
      <c r="B7" s="8">
        <f t="shared" si="0"/>
        <v>2.4749999999999996</v>
      </c>
      <c r="C7" s="8">
        <f t="shared" si="1"/>
        <v>1.65</v>
      </c>
      <c r="D7" s="8">
        <v>1.5</v>
      </c>
      <c r="E7" s="8">
        <v>1.8</v>
      </c>
      <c r="F7" s="22">
        <v>1600</v>
      </c>
      <c r="G7" s="36">
        <f t="shared" si="13"/>
        <v>862</v>
      </c>
      <c r="H7" s="22">
        <f t="shared" si="2"/>
        <v>738</v>
      </c>
      <c r="J7" s="9">
        <v>3</v>
      </c>
      <c r="K7" s="14">
        <f t="shared" si="3"/>
        <v>4.9499999999999993</v>
      </c>
      <c r="L7" s="14">
        <f t="shared" si="4"/>
        <v>7.4249999999999989</v>
      </c>
      <c r="M7" s="10">
        <v>5</v>
      </c>
      <c r="N7" s="15">
        <f t="shared" si="5"/>
        <v>8.25</v>
      </c>
      <c r="O7" s="15">
        <f t="shared" si="6"/>
        <v>12.374999999999998</v>
      </c>
      <c r="P7" s="11">
        <v>8</v>
      </c>
      <c r="Q7" s="16">
        <f t="shared" si="7"/>
        <v>13.2</v>
      </c>
      <c r="R7" s="16">
        <f t="shared" si="8"/>
        <v>19.799999999999997</v>
      </c>
      <c r="S7" s="12">
        <v>12</v>
      </c>
      <c r="T7" s="17">
        <f t="shared" si="9"/>
        <v>19.799999999999997</v>
      </c>
      <c r="U7" s="17">
        <f t="shared" si="10"/>
        <v>29.699999999999996</v>
      </c>
      <c r="V7" s="39">
        <v>9</v>
      </c>
      <c r="W7" s="38">
        <f t="shared" si="11"/>
        <v>14.85</v>
      </c>
      <c r="X7" s="38">
        <f t="shared" si="12"/>
        <v>22.274999999999999</v>
      </c>
      <c r="Y7" s="7">
        <v>9</v>
      </c>
      <c r="Z7" s="7">
        <v>7</v>
      </c>
      <c r="AA7" s="7">
        <v>6</v>
      </c>
      <c r="AB7" s="7">
        <v>5</v>
      </c>
      <c r="AC7" s="7">
        <v>4</v>
      </c>
    </row>
    <row r="8" spans="1:29">
      <c r="A8" s="7" t="s">
        <v>179</v>
      </c>
      <c r="B8" s="8">
        <f t="shared" si="0"/>
        <v>2.4000000000000004</v>
      </c>
      <c r="C8" s="8">
        <f t="shared" si="1"/>
        <v>1.6</v>
      </c>
      <c r="D8" s="8">
        <v>1.5</v>
      </c>
      <c r="E8" s="8">
        <v>1.7</v>
      </c>
      <c r="F8" s="22">
        <v>200</v>
      </c>
      <c r="G8" s="36">
        <f t="shared" si="13"/>
        <v>195</v>
      </c>
      <c r="H8" s="22">
        <f t="shared" si="2"/>
        <v>5</v>
      </c>
      <c r="J8" s="9">
        <v>1</v>
      </c>
      <c r="K8" s="14">
        <f t="shared" si="3"/>
        <v>1.6</v>
      </c>
      <c r="L8" s="14">
        <f t="shared" si="4"/>
        <v>2.4000000000000004</v>
      </c>
      <c r="M8" s="10">
        <v>1</v>
      </c>
      <c r="N8" s="15">
        <f t="shared" si="5"/>
        <v>1.6</v>
      </c>
      <c r="O8" s="15">
        <f t="shared" si="6"/>
        <v>2.4000000000000004</v>
      </c>
      <c r="Q8" s="16">
        <f t="shared" si="7"/>
        <v>0</v>
      </c>
      <c r="R8" s="16">
        <f t="shared" si="8"/>
        <v>0</v>
      </c>
      <c r="S8" s="12">
        <v>2</v>
      </c>
      <c r="T8" s="17">
        <f t="shared" si="9"/>
        <v>3.2</v>
      </c>
      <c r="U8" s="17">
        <f t="shared" si="10"/>
        <v>4.8000000000000007</v>
      </c>
      <c r="V8" s="39">
        <v>2</v>
      </c>
      <c r="W8" s="38">
        <f t="shared" si="11"/>
        <v>3.2</v>
      </c>
      <c r="X8" s="38">
        <f t="shared" si="12"/>
        <v>4.8000000000000007</v>
      </c>
      <c r="Y8" s="7">
        <v>3</v>
      </c>
      <c r="Z8" s="7">
        <v>2</v>
      </c>
      <c r="AA8" s="7">
        <v>5</v>
      </c>
      <c r="AB8" s="7">
        <v>2</v>
      </c>
      <c r="AC8" s="7">
        <v>3</v>
      </c>
    </row>
    <row r="9" spans="1:29">
      <c r="A9" s="7" t="s">
        <v>832</v>
      </c>
      <c r="B9" s="8">
        <f t="shared" si="0"/>
        <v>2.625</v>
      </c>
      <c r="C9" s="8">
        <f t="shared" si="1"/>
        <v>1.75</v>
      </c>
      <c r="D9" s="8">
        <v>1.5</v>
      </c>
      <c r="E9" s="8">
        <v>2</v>
      </c>
      <c r="F9" s="22">
        <v>60</v>
      </c>
      <c r="G9" s="36">
        <f t="shared" si="13"/>
        <v>74</v>
      </c>
      <c r="H9" s="22">
        <f t="shared" si="2"/>
        <v>-14</v>
      </c>
      <c r="J9" s="9">
        <v>0</v>
      </c>
      <c r="K9" s="14">
        <f t="shared" si="3"/>
        <v>0</v>
      </c>
      <c r="L9" s="14">
        <f t="shared" si="4"/>
        <v>0</v>
      </c>
      <c r="M9" s="10">
        <v>0</v>
      </c>
      <c r="N9" s="15">
        <f t="shared" si="5"/>
        <v>0</v>
      </c>
      <c r="O9" s="15">
        <f t="shared" si="6"/>
        <v>0</v>
      </c>
      <c r="Q9" s="16">
        <f t="shared" si="7"/>
        <v>0</v>
      </c>
      <c r="R9" s="16">
        <f t="shared" si="8"/>
        <v>0</v>
      </c>
      <c r="S9" s="12">
        <v>1</v>
      </c>
      <c r="T9" s="17">
        <f t="shared" si="9"/>
        <v>1.75</v>
      </c>
      <c r="U9" s="17">
        <f t="shared" si="10"/>
        <v>2.625</v>
      </c>
      <c r="V9" s="39">
        <v>1</v>
      </c>
      <c r="W9" s="38">
        <f t="shared" si="11"/>
        <v>1.75</v>
      </c>
      <c r="X9" s="38">
        <f t="shared" si="12"/>
        <v>2.625</v>
      </c>
      <c r="Y9" s="7">
        <v>1</v>
      </c>
      <c r="Z9" s="7">
        <v>1</v>
      </c>
      <c r="AA9" s="7">
        <v>1</v>
      </c>
      <c r="AB9" s="7">
        <v>1</v>
      </c>
      <c r="AC9" s="7">
        <v>1</v>
      </c>
    </row>
    <row r="10" spans="1:29">
      <c r="A10" s="7" t="s">
        <v>833</v>
      </c>
      <c r="B10" s="8">
        <f t="shared" si="0"/>
        <v>3.6750000000000003</v>
      </c>
      <c r="C10" s="8">
        <f t="shared" si="1"/>
        <v>2.4500000000000002</v>
      </c>
      <c r="E10" s="8">
        <v>2.4500000000000002</v>
      </c>
      <c r="F10" s="22">
        <v>26</v>
      </c>
      <c r="G10" s="36">
        <f t="shared" si="13"/>
        <v>29</v>
      </c>
      <c r="H10" s="22">
        <f t="shared" si="2"/>
        <v>-3</v>
      </c>
      <c r="J10" s="9">
        <v>0</v>
      </c>
      <c r="K10" s="14">
        <f t="shared" si="3"/>
        <v>0</v>
      </c>
      <c r="L10" s="14">
        <f t="shared" si="4"/>
        <v>0</v>
      </c>
      <c r="M10" s="10">
        <v>0</v>
      </c>
      <c r="N10" s="15">
        <f t="shared" si="5"/>
        <v>0</v>
      </c>
      <c r="O10" s="15">
        <f t="shared" si="6"/>
        <v>0</v>
      </c>
      <c r="Q10" s="16">
        <f t="shared" si="7"/>
        <v>0</v>
      </c>
      <c r="R10" s="16">
        <f t="shared" si="8"/>
        <v>0</v>
      </c>
      <c r="S10" s="50">
        <v>0.5</v>
      </c>
      <c r="T10" s="17">
        <f t="shared" si="9"/>
        <v>1.2250000000000001</v>
      </c>
      <c r="U10" s="17">
        <f t="shared" si="10"/>
        <v>1.8375000000000001</v>
      </c>
      <c r="V10" s="50">
        <v>0.25</v>
      </c>
      <c r="W10" s="38">
        <f t="shared" si="11"/>
        <v>0.61250000000000004</v>
      </c>
      <c r="X10" s="38">
        <f t="shared" si="12"/>
        <v>0.91875000000000007</v>
      </c>
      <c r="Y10" s="7">
        <v>0</v>
      </c>
      <c r="Z10" s="7">
        <v>0</v>
      </c>
      <c r="AA10" s="7">
        <v>1</v>
      </c>
      <c r="AB10" s="7">
        <v>0</v>
      </c>
      <c r="AC10" s="7">
        <v>1</v>
      </c>
    </row>
    <row r="11" spans="1:29">
      <c r="A11" s="7" t="s">
        <v>778</v>
      </c>
      <c r="B11" s="8">
        <f t="shared" si="0"/>
        <v>3</v>
      </c>
      <c r="C11" s="8">
        <f t="shared" si="1"/>
        <v>2</v>
      </c>
      <c r="D11" s="8">
        <v>1</v>
      </c>
      <c r="E11" s="8">
        <v>3</v>
      </c>
      <c r="F11" s="22">
        <v>75</v>
      </c>
      <c r="G11" s="36">
        <f t="shared" si="13"/>
        <v>58</v>
      </c>
      <c r="H11" s="22">
        <f t="shared" si="2"/>
        <v>17</v>
      </c>
      <c r="J11" s="9">
        <v>0</v>
      </c>
      <c r="K11" s="14">
        <f t="shared" si="3"/>
        <v>0</v>
      </c>
      <c r="L11" s="14">
        <f t="shared" si="4"/>
        <v>0</v>
      </c>
      <c r="M11" s="10">
        <v>0</v>
      </c>
      <c r="N11" s="15">
        <f t="shared" si="5"/>
        <v>0</v>
      </c>
      <c r="O11" s="15">
        <f t="shared" si="6"/>
        <v>0</v>
      </c>
      <c r="Q11" s="16">
        <f t="shared" si="7"/>
        <v>0</v>
      </c>
      <c r="R11" s="16">
        <f t="shared" si="8"/>
        <v>0</v>
      </c>
      <c r="S11" s="12">
        <v>1</v>
      </c>
      <c r="T11" s="17">
        <f t="shared" si="9"/>
        <v>2</v>
      </c>
      <c r="U11" s="17">
        <f t="shared" si="10"/>
        <v>3</v>
      </c>
      <c r="V11" s="39">
        <v>1</v>
      </c>
      <c r="W11" s="38">
        <f t="shared" si="11"/>
        <v>2</v>
      </c>
      <c r="X11" s="38">
        <f t="shared" si="12"/>
        <v>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</row>
    <row r="12" spans="1:29">
      <c r="A12" s="7" t="s">
        <v>834</v>
      </c>
      <c r="B12" s="8">
        <f t="shared" si="0"/>
        <v>2.25</v>
      </c>
      <c r="C12" s="8">
        <f t="shared" si="1"/>
        <v>1.5</v>
      </c>
      <c r="D12" s="13">
        <v>1.5</v>
      </c>
      <c r="F12" s="22">
        <v>63</v>
      </c>
      <c r="G12" s="36">
        <f t="shared" si="13"/>
        <v>74</v>
      </c>
      <c r="H12" s="22">
        <f t="shared" si="2"/>
        <v>-11</v>
      </c>
      <c r="J12" s="9">
        <v>0</v>
      </c>
      <c r="K12" s="14">
        <f t="shared" si="3"/>
        <v>0</v>
      </c>
      <c r="L12" s="14">
        <f t="shared" si="4"/>
        <v>0</v>
      </c>
      <c r="M12" s="10">
        <v>0</v>
      </c>
      <c r="N12" s="15">
        <f t="shared" si="5"/>
        <v>0</v>
      </c>
      <c r="O12" s="15">
        <f t="shared" si="6"/>
        <v>0</v>
      </c>
      <c r="Q12" s="16">
        <f t="shared" si="7"/>
        <v>0</v>
      </c>
      <c r="R12" s="16">
        <f t="shared" si="8"/>
        <v>0</v>
      </c>
      <c r="S12" s="12">
        <v>1</v>
      </c>
      <c r="T12" s="17">
        <f t="shared" si="9"/>
        <v>1.5</v>
      </c>
      <c r="U12" s="17">
        <f t="shared" si="10"/>
        <v>2.25</v>
      </c>
      <c r="V12" s="39">
        <v>1</v>
      </c>
      <c r="W12" s="38">
        <f t="shared" si="11"/>
        <v>1.5</v>
      </c>
      <c r="X12" s="38">
        <f t="shared" si="12"/>
        <v>2.25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</row>
    <row r="13" spans="1:29">
      <c r="A13" s="7" t="s">
        <v>180</v>
      </c>
      <c r="B13" s="8">
        <f t="shared" si="0"/>
        <v>1.7249999999999999</v>
      </c>
      <c r="C13" s="8">
        <f t="shared" si="1"/>
        <v>1.1499999999999999</v>
      </c>
      <c r="D13" s="8">
        <v>1.1499999999999999</v>
      </c>
      <c r="F13" s="22">
        <v>60</v>
      </c>
      <c r="G13" s="36">
        <f t="shared" si="13"/>
        <v>59</v>
      </c>
      <c r="H13" s="22">
        <f t="shared" si="2"/>
        <v>1</v>
      </c>
      <c r="J13" s="9">
        <v>1</v>
      </c>
      <c r="K13" s="14">
        <f t="shared" si="3"/>
        <v>1.1499999999999999</v>
      </c>
      <c r="L13" s="14">
        <f t="shared" si="4"/>
        <v>1.7249999999999999</v>
      </c>
      <c r="M13" s="10">
        <v>1</v>
      </c>
      <c r="N13" s="15">
        <f t="shared" si="5"/>
        <v>1.1499999999999999</v>
      </c>
      <c r="O13" s="15">
        <f t="shared" si="6"/>
        <v>1.7249999999999999</v>
      </c>
      <c r="Q13" s="16">
        <f t="shared" si="7"/>
        <v>0</v>
      </c>
      <c r="R13" s="16">
        <f t="shared" si="8"/>
        <v>0</v>
      </c>
      <c r="S13" s="12">
        <v>1</v>
      </c>
      <c r="T13" s="17">
        <f t="shared" si="9"/>
        <v>1.1499999999999999</v>
      </c>
      <c r="U13" s="17">
        <f t="shared" si="10"/>
        <v>1.7249999999999999</v>
      </c>
      <c r="V13" s="39"/>
      <c r="W13" s="38">
        <f t="shared" si="11"/>
        <v>0</v>
      </c>
      <c r="X13" s="38">
        <f t="shared" si="12"/>
        <v>0</v>
      </c>
      <c r="Y13" s="7">
        <v>2</v>
      </c>
      <c r="Z13" s="7">
        <v>1</v>
      </c>
      <c r="AA13" s="7">
        <v>0</v>
      </c>
      <c r="AB13" s="7">
        <v>1</v>
      </c>
      <c r="AC13" s="7">
        <v>0</v>
      </c>
    </row>
    <row r="14" spans="1:29">
      <c r="A14" s="7" t="s">
        <v>835</v>
      </c>
      <c r="B14" s="8">
        <f t="shared" si="0"/>
        <v>3</v>
      </c>
      <c r="C14" s="8">
        <f t="shared" si="1"/>
        <v>2</v>
      </c>
      <c r="D14" s="8">
        <v>2</v>
      </c>
      <c r="F14" s="22">
        <v>50</v>
      </c>
      <c r="G14" s="36">
        <f t="shared" si="13"/>
        <v>45</v>
      </c>
      <c r="H14" s="22">
        <f t="shared" si="2"/>
        <v>5</v>
      </c>
      <c r="K14" s="14">
        <f t="shared" si="3"/>
        <v>0</v>
      </c>
      <c r="L14" s="14">
        <f t="shared" si="4"/>
        <v>0</v>
      </c>
      <c r="N14" s="15">
        <f t="shared" si="5"/>
        <v>0</v>
      </c>
      <c r="O14" s="15">
        <f t="shared" si="6"/>
        <v>0</v>
      </c>
      <c r="Q14" s="16">
        <f t="shared" si="7"/>
        <v>0</v>
      </c>
      <c r="R14" s="16">
        <f t="shared" si="8"/>
        <v>0</v>
      </c>
      <c r="S14" s="12">
        <v>1</v>
      </c>
      <c r="T14" s="17">
        <f t="shared" si="9"/>
        <v>2</v>
      </c>
      <c r="U14" s="17">
        <f t="shared" si="10"/>
        <v>3</v>
      </c>
      <c r="V14" s="50">
        <v>0.5</v>
      </c>
      <c r="W14" s="38">
        <f t="shared" si="11"/>
        <v>1</v>
      </c>
      <c r="X14" s="38">
        <f t="shared" si="12"/>
        <v>1.5</v>
      </c>
      <c r="Y14" s="7">
        <v>1</v>
      </c>
      <c r="Z14" s="7">
        <v>1</v>
      </c>
      <c r="AA14" s="7">
        <v>1</v>
      </c>
      <c r="AB14" s="7">
        <v>1</v>
      </c>
      <c r="AC14" s="7">
        <v>0</v>
      </c>
    </row>
    <row r="15" spans="1:29">
      <c r="A15" s="7" t="s">
        <v>836</v>
      </c>
      <c r="B15" s="8">
        <f t="shared" si="0"/>
        <v>1.5750000000000002</v>
      </c>
      <c r="C15" s="8">
        <f t="shared" si="1"/>
        <v>1.05</v>
      </c>
      <c r="E15" s="8">
        <v>1.05</v>
      </c>
      <c r="F15" s="22">
        <v>0</v>
      </c>
      <c r="G15" s="36">
        <f t="shared" si="13"/>
        <v>0</v>
      </c>
      <c r="H15" s="22">
        <f t="shared" si="2"/>
        <v>0</v>
      </c>
      <c r="K15" s="14">
        <f t="shared" si="3"/>
        <v>0</v>
      </c>
      <c r="L15" s="14">
        <f t="shared" si="4"/>
        <v>0</v>
      </c>
      <c r="N15" s="15">
        <f t="shared" si="5"/>
        <v>0</v>
      </c>
      <c r="O15" s="15">
        <f t="shared" si="6"/>
        <v>0</v>
      </c>
      <c r="Q15" s="16">
        <f t="shared" si="7"/>
        <v>0</v>
      </c>
      <c r="R15" s="16">
        <f t="shared" si="8"/>
        <v>0</v>
      </c>
      <c r="T15" s="17">
        <f t="shared" si="9"/>
        <v>0</v>
      </c>
      <c r="U15" s="17">
        <f t="shared" si="10"/>
        <v>0</v>
      </c>
      <c r="V15" s="39"/>
      <c r="W15" s="38">
        <f t="shared" si="11"/>
        <v>0</v>
      </c>
      <c r="X15" s="38">
        <f t="shared" si="12"/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</row>
    <row r="16" spans="1:29">
      <c r="A16" s="7" t="s">
        <v>772</v>
      </c>
      <c r="B16" s="8">
        <f t="shared" si="0"/>
        <v>2.5499999999999998</v>
      </c>
      <c r="C16" s="8">
        <f t="shared" si="1"/>
        <v>1.7</v>
      </c>
      <c r="E16" s="8">
        <v>1.7</v>
      </c>
      <c r="F16" s="22">
        <v>14</v>
      </c>
      <c r="G16" s="36">
        <f t="shared" si="13"/>
        <v>18</v>
      </c>
      <c r="H16" s="22">
        <f t="shared" si="2"/>
        <v>-4</v>
      </c>
      <c r="K16" s="14">
        <f t="shared" si="3"/>
        <v>0</v>
      </c>
      <c r="L16" s="14">
        <f t="shared" si="4"/>
        <v>0</v>
      </c>
      <c r="M16" s="10">
        <v>0</v>
      </c>
      <c r="N16" s="15">
        <f t="shared" si="5"/>
        <v>0</v>
      </c>
      <c r="O16" s="15">
        <f t="shared" si="6"/>
        <v>0</v>
      </c>
      <c r="Q16" s="16">
        <f t="shared" si="7"/>
        <v>0</v>
      </c>
      <c r="R16" s="16">
        <f t="shared" si="8"/>
        <v>0</v>
      </c>
      <c r="S16" s="50">
        <v>0.5</v>
      </c>
      <c r="T16" s="17">
        <f t="shared" si="9"/>
        <v>0.85</v>
      </c>
      <c r="U16" s="17">
        <f t="shared" si="10"/>
        <v>1.2749999999999999</v>
      </c>
      <c r="V16" s="39"/>
      <c r="W16" s="38">
        <f t="shared" si="11"/>
        <v>0</v>
      </c>
      <c r="X16" s="38">
        <f t="shared" si="12"/>
        <v>0</v>
      </c>
      <c r="Y16" s="7">
        <v>0</v>
      </c>
      <c r="Z16" s="7">
        <v>0</v>
      </c>
      <c r="AA16" s="7">
        <v>0</v>
      </c>
      <c r="AB16" s="7">
        <v>0</v>
      </c>
      <c r="AC16" s="7">
        <v>1</v>
      </c>
    </row>
    <row r="17" spans="1:29">
      <c r="A17" s="7" t="s">
        <v>837</v>
      </c>
      <c r="B17" s="8">
        <f t="shared" si="0"/>
        <v>2.25</v>
      </c>
      <c r="C17" s="8">
        <f t="shared" si="1"/>
        <v>1.5</v>
      </c>
      <c r="D17" s="13">
        <v>1.5</v>
      </c>
      <c r="F17" s="22">
        <v>84</v>
      </c>
      <c r="G17" s="36" t="e">
        <f t="shared" si="13"/>
        <v>#VALUE!</v>
      </c>
      <c r="H17" s="22" t="e">
        <f t="shared" si="2"/>
        <v>#VALUE!</v>
      </c>
      <c r="J17" s="9" t="s">
        <v>838</v>
      </c>
      <c r="K17" s="14" t="e">
        <f t="shared" si="3"/>
        <v>#VALUE!</v>
      </c>
      <c r="L17" s="14" t="e">
        <f t="shared" si="4"/>
        <v>#VALUE!</v>
      </c>
      <c r="M17" s="10">
        <v>1</v>
      </c>
      <c r="N17" s="15">
        <f t="shared" si="5"/>
        <v>1.5</v>
      </c>
      <c r="O17" s="15">
        <f t="shared" si="6"/>
        <v>2.25</v>
      </c>
      <c r="Q17" s="16">
        <f t="shared" si="7"/>
        <v>0</v>
      </c>
      <c r="R17" s="16">
        <f t="shared" si="8"/>
        <v>0</v>
      </c>
      <c r="S17" s="12">
        <v>0</v>
      </c>
      <c r="T17" s="17">
        <f t="shared" si="9"/>
        <v>0</v>
      </c>
      <c r="U17" s="17">
        <f t="shared" si="10"/>
        <v>0</v>
      </c>
      <c r="V17" s="50">
        <v>0.25</v>
      </c>
      <c r="W17" s="38">
        <f t="shared" si="11"/>
        <v>0.375</v>
      </c>
      <c r="X17" s="38">
        <f t="shared" si="12"/>
        <v>0.5625</v>
      </c>
      <c r="Y17" s="7">
        <v>2</v>
      </c>
      <c r="Z17" s="7">
        <v>2</v>
      </c>
      <c r="AA17" s="7">
        <v>2</v>
      </c>
      <c r="AB17" s="7">
        <v>2</v>
      </c>
      <c r="AC17" s="7">
        <v>1</v>
      </c>
    </row>
    <row r="18" spans="1:29">
      <c r="A18" s="7" t="s">
        <v>839</v>
      </c>
      <c r="B18" s="8">
        <f t="shared" si="0"/>
        <v>1.5</v>
      </c>
      <c r="C18" s="8">
        <f t="shared" si="1"/>
        <v>1</v>
      </c>
      <c r="D18" s="8">
        <v>1</v>
      </c>
      <c r="F18" s="22">
        <v>100</v>
      </c>
      <c r="G18" s="36">
        <f t="shared" si="13"/>
        <v>89</v>
      </c>
      <c r="H18" s="22">
        <f t="shared" si="2"/>
        <v>11</v>
      </c>
      <c r="K18" s="14">
        <f t="shared" si="3"/>
        <v>0</v>
      </c>
      <c r="L18" s="14">
        <f t="shared" si="4"/>
        <v>0</v>
      </c>
      <c r="N18" s="15">
        <f t="shared" si="5"/>
        <v>0</v>
      </c>
      <c r="O18" s="15">
        <f t="shared" si="6"/>
        <v>0</v>
      </c>
      <c r="Q18" s="16">
        <f t="shared" si="7"/>
        <v>0</v>
      </c>
      <c r="R18" s="16">
        <f t="shared" si="8"/>
        <v>0</v>
      </c>
      <c r="S18" s="12">
        <v>2</v>
      </c>
      <c r="T18" s="17">
        <f t="shared" si="9"/>
        <v>2</v>
      </c>
      <c r="U18" s="17">
        <f t="shared" si="10"/>
        <v>3</v>
      </c>
      <c r="V18" s="39">
        <v>1</v>
      </c>
      <c r="W18" s="38">
        <f t="shared" si="11"/>
        <v>1</v>
      </c>
      <c r="X18" s="38">
        <f t="shared" si="12"/>
        <v>1.5</v>
      </c>
      <c r="Y18" s="7">
        <v>3</v>
      </c>
      <c r="Z18" s="7">
        <v>2</v>
      </c>
      <c r="AA18" s="7">
        <v>1</v>
      </c>
      <c r="AB18" s="7">
        <v>1</v>
      </c>
      <c r="AC18" s="7">
        <v>0</v>
      </c>
    </row>
    <row r="19" spans="1:29">
      <c r="A19" s="7" t="s">
        <v>840</v>
      </c>
      <c r="B19" s="8">
        <f t="shared" si="0"/>
        <v>2.25</v>
      </c>
      <c r="C19" s="8">
        <f t="shared" si="1"/>
        <v>1.5</v>
      </c>
      <c r="D19" s="13">
        <v>1.5</v>
      </c>
      <c r="F19" s="22">
        <v>350</v>
      </c>
      <c r="G19" s="36">
        <f t="shared" si="13"/>
        <v>283</v>
      </c>
      <c r="H19" s="22">
        <f t="shared" si="2"/>
        <v>67</v>
      </c>
      <c r="J19" s="9">
        <v>2</v>
      </c>
      <c r="K19" s="14">
        <f t="shared" si="3"/>
        <v>3</v>
      </c>
      <c r="L19" s="14">
        <f t="shared" si="4"/>
        <v>4.5</v>
      </c>
      <c r="M19" s="10">
        <v>2</v>
      </c>
      <c r="N19" s="15">
        <f t="shared" si="5"/>
        <v>3</v>
      </c>
      <c r="O19" s="15">
        <f t="shared" si="6"/>
        <v>4.5</v>
      </c>
      <c r="P19" s="11">
        <v>2</v>
      </c>
      <c r="Q19" s="16">
        <f t="shared" si="7"/>
        <v>3</v>
      </c>
      <c r="R19" s="16">
        <f t="shared" si="8"/>
        <v>4.5</v>
      </c>
      <c r="S19" s="12">
        <v>3</v>
      </c>
      <c r="T19" s="17">
        <f t="shared" si="9"/>
        <v>4.5</v>
      </c>
      <c r="U19" s="17">
        <f t="shared" si="10"/>
        <v>6.75</v>
      </c>
      <c r="V19" s="39">
        <v>3</v>
      </c>
      <c r="W19" s="38">
        <f t="shared" si="11"/>
        <v>4.5</v>
      </c>
      <c r="X19" s="38">
        <f t="shared" si="12"/>
        <v>6.75</v>
      </c>
      <c r="Y19" s="7">
        <v>2</v>
      </c>
      <c r="Z19" s="7">
        <v>2</v>
      </c>
      <c r="AA19" s="7">
        <v>1</v>
      </c>
      <c r="AB19" s="7">
        <v>1</v>
      </c>
      <c r="AC19" s="7">
        <v>1</v>
      </c>
    </row>
    <row r="20" spans="1:29">
      <c r="A20" s="7" t="s">
        <v>779</v>
      </c>
      <c r="B20" s="8">
        <f t="shared" si="0"/>
        <v>1.875</v>
      </c>
      <c r="C20" s="8">
        <f t="shared" si="1"/>
        <v>1.25</v>
      </c>
      <c r="D20" s="13">
        <v>1.25</v>
      </c>
      <c r="F20" s="22">
        <v>60</v>
      </c>
      <c r="G20" s="36">
        <f t="shared" si="13"/>
        <v>65</v>
      </c>
      <c r="H20" s="22">
        <f t="shared" si="2"/>
        <v>-5</v>
      </c>
      <c r="K20" s="14">
        <f t="shared" si="3"/>
        <v>0</v>
      </c>
      <c r="L20" s="14">
        <f t="shared" si="4"/>
        <v>0</v>
      </c>
      <c r="N20" s="15">
        <f t="shared" si="5"/>
        <v>0</v>
      </c>
      <c r="O20" s="15">
        <f t="shared" si="6"/>
        <v>0</v>
      </c>
      <c r="Q20" s="16">
        <f t="shared" si="7"/>
        <v>0</v>
      </c>
      <c r="R20" s="16">
        <f t="shared" si="8"/>
        <v>0</v>
      </c>
      <c r="S20" s="12">
        <v>1</v>
      </c>
      <c r="T20" s="17">
        <f t="shared" si="9"/>
        <v>1.25</v>
      </c>
      <c r="U20" s="17">
        <f t="shared" si="10"/>
        <v>1.875</v>
      </c>
      <c r="V20" s="39">
        <v>1</v>
      </c>
      <c r="W20" s="38">
        <f t="shared" si="11"/>
        <v>1.25</v>
      </c>
      <c r="X20" s="38">
        <f t="shared" si="12"/>
        <v>1.875</v>
      </c>
      <c r="Y20" s="7">
        <v>1</v>
      </c>
      <c r="Z20" s="7">
        <v>1</v>
      </c>
      <c r="AA20" s="7">
        <v>1</v>
      </c>
      <c r="AB20" s="7">
        <v>1</v>
      </c>
      <c r="AC20" s="7">
        <v>0</v>
      </c>
    </row>
    <row r="21" spans="1:29">
      <c r="A21" s="7" t="s">
        <v>841</v>
      </c>
      <c r="B21" s="8">
        <f t="shared" si="0"/>
        <v>2.25</v>
      </c>
      <c r="C21" s="8">
        <f t="shared" si="1"/>
        <v>1.5</v>
      </c>
      <c r="D21" s="8">
        <v>1.5</v>
      </c>
      <c r="G21" s="36">
        <f t="shared" si="13"/>
        <v>0</v>
      </c>
      <c r="H21" s="22">
        <f t="shared" si="2"/>
        <v>0</v>
      </c>
      <c r="K21" s="14">
        <f t="shared" si="3"/>
        <v>0</v>
      </c>
      <c r="L21" s="14">
        <f t="shared" si="4"/>
        <v>0</v>
      </c>
      <c r="N21" s="15">
        <f t="shared" si="5"/>
        <v>0</v>
      </c>
      <c r="O21" s="15">
        <f t="shared" si="6"/>
        <v>0</v>
      </c>
      <c r="Q21" s="16">
        <f t="shared" si="7"/>
        <v>0</v>
      </c>
      <c r="R21" s="16">
        <f t="shared" si="8"/>
        <v>0</v>
      </c>
      <c r="T21" s="17">
        <f t="shared" si="9"/>
        <v>0</v>
      </c>
      <c r="U21" s="17">
        <f t="shared" si="10"/>
        <v>0</v>
      </c>
      <c r="V21" s="39"/>
      <c r="W21" s="38">
        <f t="shared" si="11"/>
        <v>0</v>
      </c>
      <c r="X21" s="38">
        <f t="shared" si="12"/>
        <v>0</v>
      </c>
      <c r="Y21" s="7"/>
    </row>
    <row r="22" spans="1:29">
      <c r="A22" s="7" t="s">
        <v>842</v>
      </c>
      <c r="B22" s="8">
        <f t="shared" si="0"/>
        <v>2.4000000000000004</v>
      </c>
      <c r="C22" s="8">
        <f t="shared" si="1"/>
        <v>1.6</v>
      </c>
      <c r="D22" s="8">
        <v>1.6</v>
      </c>
      <c r="F22" s="22">
        <v>100</v>
      </c>
      <c r="G22" s="36">
        <f t="shared" si="13"/>
        <v>80</v>
      </c>
      <c r="H22" s="22">
        <f t="shared" si="2"/>
        <v>20</v>
      </c>
      <c r="K22" s="14">
        <f t="shared" si="3"/>
        <v>0</v>
      </c>
      <c r="L22" s="14">
        <f t="shared" si="4"/>
        <v>0</v>
      </c>
      <c r="M22" s="10">
        <v>1</v>
      </c>
      <c r="N22" s="15">
        <f t="shared" si="5"/>
        <v>1.6</v>
      </c>
      <c r="O22" s="15">
        <f t="shared" si="6"/>
        <v>2.4000000000000004</v>
      </c>
      <c r="Q22" s="16">
        <f t="shared" si="7"/>
        <v>0</v>
      </c>
      <c r="R22" s="16">
        <f t="shared" si="8"/>
        <v>0</v>
      </c>
      <c r="S22" s="12">
        <v>1</v>
      </c>
      <c r="T22" s="17">
        <f t="shared" si="9"/>
        <v>1.6</v>
      </c>
      <c r="U22" s="17">
        <f t="shared" si="10"/>
        <v>2.4000000000000004</v>
      </c>
      <c r="V22" s="39">
        <v>1</v>
      </c>
      <c r="W22" s="38">
        <f t="shared" si="11"/>
        <v>1.6</v>
      </c>
      <c r="X22" s="38">
        <f t="shared" si="12"/>
        <v>2.4000000000000004</v>
      </c>
      <c r="Y22" s="7">
        <v>2</v>
      </c>
      <c r="Z22" s="7">
        <v>2</v>
      </c>
      <c r="AA22" s="7">
        <v>1</v>
      </c>
      <c r="AB22" s="7">
        <v>1</v>
      </c>
    </row>
    <row r="23" spans="1:29">
      <c r="A23" s="7" t="s">
        <v>843</v>
      </c>
      <c r="B23" s="8">
        <f t="shared" si="0"/>
        <v>1.875</v>
      </c>
      <c r="C23" s="8">
        <f t="shared" si="1"/>
        <v>1.25</v>
      </c>
      <c r="D23" s="13">
        <v>1.25</v>
      </c>
      <c r="G23" s="36">
        <f t="shared" si="13"/>
        <v>0</v>
      </c>
      <c r="H23" s="22">
        <f t="shared" si="2"/>
        <v>0</v>
      </c>
      <c r="K23" s="14">
        <f t="shared" si="3"/>
        <v>0</v>
      </c>
      <c r="L23" s="14">
        <f t="shared" si="4"/>
        <v>0</v>
      </c>
      <c r="N23" s="15">
        <f t="shared" si="5"/>
        <v>0</v>
      </c>
      <c r="O23" s="15">
        <f t="shared" si="6"/>
        <v>0</v>
      </c>
      <c r="Q23" s="16">
        <f t="shared" si="7"/>
        <v>0</v>
      </c>
      <c r="R23" s="16">
        <f t="shared" si="8"/>
        <v>0</v>
      </c>
      <c r="T23" s="17">
        <f t="shared" si="9"/>
        <v>0</v>
      </c>
      <c r="U23" s="17">
        <f t="shared" si="10"/>
        <v>0</v>
      </c>
      <c r="V23" s="39"/>
      <c r="W23" s="38">
        <f t="shared" si="11"/>
        <v>0</v>
      </c>
      <c r="X23" s="38">
        <f t="shared" si="12"/>
        <v>0</v>
      </c>
      <c r="Y23" s="7"/>
    </row>
    <row r="24" spans="1:29">
      <c r="A24" s="7" t="s">
        <v>794</v>
      </c>
      <c r="B24" s="8">
        <f t="shared" si="0"/>
        <v>1.875</v>
      </c>
      <c r="C24" s="8">
        <f t="shared" si="1"/>
        <v>1.25</v>
      </c>
      <c r="D24" s="8">
        <v>1.25</v>
      </c>
      <c r="F24" s="22">
        <v>75</v>
      </c>
      <c r="G24" s="36">
        <f t="shared" si="13"/>
        <v>16</v>
      </c>
      <c r="H24" s="22">
        <f t="shared" si="2"/>
        <v>59</v>
      </c>
      <c r="K24" s="14">
        <f t="shared" si="3"/>
        <v>0</v>
      </c>
      <c r="L24" s="14">
        <f t="shared" si="4"/>
        <v>0</v>
      </c>
      <c r="N24" s="15">
        <f t="shared" si="5"/>
        <v>0</v>
      </c>
      <c r="O24" s="15">
        <f t="shared" si="6"/>
        <v>0</v>
      </c>
      <c r="Q24" s="16">
        <f t="shared" si="7"/>
        <v>0</v>
      </c>
      <c r="R24" s="16">
        <f t="shared" si="8"/>
        <v>0</v>
      </c>
      <c r="T24" s="17">
        <f t="shared" si="9"/>
        <v>0</v>
      </c>
      <c r="U24" s="17">
        <f t="shared" si="10"/>
        <v>0</v>
      </c>
      <c r="V24" s="39"/>
      <c r="W24" s="38">
        <f t="shared" si="11"/>
        <v>0</v>
      </c>
      <c r="X24" s="38">
        <f t="shared" si="12"/>
        <v>0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</row>
    <row r="25" spans="1:29">
      <c r="B25" s="8">
        <f t="shared" si="0"/>
        <v>0</v>
      </c>
      <c r="C25" s="8">
        <v>0</v>
      </c>
      <c r="G25" s="36">
        <f t="shared" si="13"/>
        <v>0</v>
      </c>
      <c r="H25" s="22">
        <f t="shared" si="2"/>
        <v>0</v>
      </c>
      <c r="K25" s="14">
        <f t="shared" si="3"/>
        <v>0</v>
      </c>
      <c r="L25" s="14">
        <f t="shared" si="4"/>
        <v>0</v>
      </c>
      <c r="N25" s="15">
        <f t="shared" si="5"/>
        <v>0</v>
      </c>
      <c r="O25" s="15">
        <f t="shared" si="6"/>
        <v>0</v>
      </c>
      <c r="Q25" s="16">
        <f t="shared" si="7"/>
        <v>0</v>
      </c>
      <c r="R25" s="16">
        <f t="shared" si="8"/>
        <v>0</v>
      </c>
      <c r="T25" s="17">
        <f t="shared" si="9"/>
        <v>0</v>
      </c>
      <c r="U25" s="17">
        <f t="shared" si="10"/>
        <v>0</v>
      </c>
      <c r="V25" s="39"/>
      <c r="W25" s="38">
        <f t="shared" si="11"/>
        <v>0</v>
      </c>
      <c r="X25" s="38">
        <f t="shared" si="12"/>
        <v>0</v>
      </c>
      <c r="Y25" s="7"/>
    </row>
    <row r="26" spans="1:29">
      <c r="B26" s="8">
        <f t="shared" si="0"/>
        <v>0</v>
      </c>
      <c r="C26" s="8">
        <v>0</v>
      </c>
      <c r="G26" s="36">
        <f t="shared" si="13"/>
        <v>0</v>
      </c>
      <c r="H26" s="22">
        <f t="shared" si="2"/>
        <v>0</v>
      </c>
      <c r="K26" s="14">
        <f t="shared" si="3"/>
        <v>0</v>
      </c>
      <c r="L26" s="14">
        <f t="shared" si="4"/>
        <v>0</v>
      </c>
      <c r="N26" s="15">
        <f t="shared" si="5"/>
        <v>0</v>
      </c>
      <c r="O26" s="15">
        <f t="shared" si="6"/>
        <v>0</v>
      </c>
      <c r="Q26" s="16">
        <f t="shared" si="7"/>
        <v>0</v>
      </c>
      <c r="R26" s="16">
        <f t="shared" si="8"/>
        <v>0</v>
      </c>
      <c r="T26" s="17">
        <f t="shared" si="9"/>
        <v>0</v>
      </c>
      <c r="U26" s="17">
        <f t="shared" si="10"/>
        <v>0</v>
      </c>
      <c r="V26" s="39"/>
      <c r="W26" s="38">
        <f t="shared" si="11"/>
        <v>0</v>
      </c>
      <c r="X26" s="38">
        <f t="shared" si="12"/>
        <v>0</v>
      </c>
      <c r="Y26" s="7"/>
    </row>
    <row r="27" spans="1:29">
      <c r="B27" s="8">
        <f t="shared" si="0"/>
        <v>0</v>
      </c>
      <c r="C27" s="8">
        <v>0</v>
      </c>
      <c r="G27" s="36">
        <f t="shared" si="13"/>
        <v>0</v>
      </c>
      <c r="H27" s="22">
        <f t="shared" si="2"/>
        <v>0</v>
      </c>
      <c r="K27" s="14">
        <f t="shared" si="3"/>
        <v>0</v>
      </c>
      <c r="L27" s="14">
        <f t="shared" si="4"/>
        <v>0</v>
      </c>
      <c r="N27" s="15">
        <f t="shared" si="5"/>
        <v>0</v>
      </c>
      <c r="O27" s="15">
        <f t="shared" si="6"/>
        <v>0</v>
      </c>
      <c r="Q27" s="16">
        <f t="shared" si="7"/>
        <v>0</v>
      </c>
      <c r="R27" s="16">
        <f t="shared" si="8"/>
        <v>0</v>
      </c>
      <c r="T27" s="17">
        <f t="shared" si="9"/>
        <v>0</v>
      </c>
      <c r="U27" s="17">
        <f t="shared" si="10"/>
        <v>0</v>
      </c>
      <c r="V27" s="39"/>
      <c r="W27" s="38">
        <f t="shared" si="11"/>
        <v>0</v>
      </c>
      <c r="X27" s="38">
        <f t="shared" si="12"/>
        <v>0</v>
      </c>
      <c r="Y27" s="7"/>
    </row>
    <row r="28" spans="1:29">
      <c r="B28" s="8">
        <f t="shared" si="0"/>
        <v>0</v>
      </c>
      <c r="C28" s="8">
        <v>0</v>
      </c>
      <c r="G28" s="36">
        <f t="shared" si="13"/>
        <v>0</v>
      </c>
      <c r="H28" s="22">
        <f t="shared" si="2"/>
        <v>0</v>
      </c>
      <c r="K28" s="14">
        <f t="shared" si="3"/>
        <v>0</v>
      </c>
      <c r="L28" s="14">
        <f t="shared" si="4"/>
        <v>0</v>
      </c>
      <c r="N28" s="15">
        <f t="shared" si="5"/>
        <v>0</v>
      </c>
      <c r="O28" s="15">
        <f t="shared" si="6"/>
        <v>0</v>
      </c>
      <c r="Q28" s="16">
        <f t="shared" si="7"/>
        <v>0</v>
      </c>
      <c r="R28" s="16">
        <f t="shared" si="8"/>
        <v>0</v>
      </c>
      <c r="T28" s="17">
        <f t="shared" si="9"/>
        <v>0</v>
      </c>
      <c r="U28" s="17">
        <f t="shared" si="10"/>
        <v>0</v>
      </c>
      <c r="V28" s="39"/>
      <c r="W28" s="38">
        <f t="shared" si="11"/>
        <v>0</v>
      </c>
      <c r="X28" s="38">
        <f t="shared" si="12"/>
        <v>0</v>
      </c>
      <c r="Y28" s="7"/>
    </row>
    <row r="29" spans="1:29">
      <c r="B29" s="8">
        <f t="shared" si="0"/>
        <v>0</v>
      </c>
      <c r="C29" s="8">
        <v>0</v>
      </c>
      <c r="G29" s="36">
        <f t="shared" si="13"/>
        <v>0</v>
      </c>
      <c r="H29" s="22">
        <f t="shared" si="2"/>
        <v>0</v>
      </c>
      <c r="K29" s="14">
        <f t="shared" si="3"/>
        <v>0</v>
      </c>
      <c r="L29" s="14">
        <f t="shared" si="4"/>
        <v>0</v>
      </c>
      <c r="N29" s="15">
        <f t="shared" si="5"/>
        <v>0</v>
      </c>
      <c r="O29" s="15">
        <f t="shared" si="6"/>
        <v>0</v>
      </c>
      <c r="Q29" s="16">
        <f t="shared" si="7"/>
        <v>0</v>
      </c>
      <c r="R29" s="16">
        <f t="shared" si="8"/>
        <v>0</v>
      </c>
      <c r="T29" s="17">
        <f t="shared" si="9"/>
        <v>0</v>
      </c>
      <c r="U29" s="17">
        <f t="shared" si="10"/>
        <v>0</v>
      </c>
      <c r="V29" s="39"/>
      <c r="W29" s="38">
        <f t="shared" si="11"/>
        <v>0</v>
      </c>
      <c r="X29" s="38">
        <f t="shared" si="12"/>
        <v>0</v>
      </c>
      <c r="Y29" s="7"/>
    </row>
    <row r="30" spans="1:29">
      <c r="A30" s="7" t="s">
        <v>844</v>
      </c>
      <c r="B30" s="8">
        <f t="shared" si="0"/>
        <v>0</v>
      </c>
      <c r="C30" s="8">
        <v>0</v>
      </c>
      <c r="G30" s="36">
        <f t="shared" si="13"/>
        <v>215</v>
      </c>
      <c r="H30" s="22">
        <f t="shared" si="2"/>
        <v>-215</v>
      </c>
      <c r="K30" s="14">
        <f t="shared" si="3"/>
        <v>0</v>
      </c>
      <c r="L30" s="14">
        <f t="shared" si="4"/>
        <v>0</v>
      </c>
      <c r="N30" s="15">
        <f t="shared" si="5"/>
        <v>0</v>
      </c>
      <c r="O30" s="15">
        <f t="shared" si="6"/>
        <v>0</v>
      </c>
      <c r="Q30" s="16">
        <f t="shared" si="7"/>
        <v>0</v>
      </c>
      <c r="R30" s="16">
        <f t="shared" si="8"/>
        <v>0</v>
      </c>
      <c r="T30" s="17">
        <f t="shared" si="9"/>
        <v>0</v>
      </c>
      <c r="U30" s="17">
        <f t="shared" si="10"/>
        <v>0</v>
      </c>
      <c r="V30" s="39"/>
      <c r="W30" s="38">
        <f t="shared" si="11"/>
        <v>0</v>
      </c>
      <c r="X30" s="38">
        <f t="shared" si="12"/>
        <v>0</v>
      </c>
      <c r="Y30" s="7">
        <v>24</v>
      </c>
      <c r="Z30" s="7">
        <v>20</v>
      </c>
      <c r="AA30" s="7">
        <v>5</v>
      </c>
      <c r="AB30" s="7">
        <v>16</v>
      </c>
      <c r="AC30" s="7">
        <v>10</v>
      </c>
    </row>
    <row r="31" spans="1:29">
      <c r="B31" s="8">
        <f t="shared" si="0"/>
        <v>0</v>
      </c>
      <c r="C31" s="8">
        <v>0</v>
      </c>
      <c r="G31" s="36">
        <f t="shared" si="13"/>
        <v>0</v>
      </c>
      <c r="H31" s="22">
        <f t="shared" si="2"/>
        <v>0</v>
      </c>
      <c r="K31" s="14">
        <f t="shared" si="3"/>
        <v>0</v>
      </c>
      <c r="L31" s="14">
        <f t="shared" si="4"/>
        <v>0</v>
      </c>
      <c r="N31" s="15">
        <f t="shared" si="5"/>
        <v>0</v>
      </c>
      <c r="O31" s="15">
        <f t="shared" si="6"/>
        <v>0</v>
      </c>
      <c r="Q31" s="16">
        <f t="shared" si="7"/>
        <v>0</v>
      </c>
      <c r="R31" s="16">
        <f t="shared" si="8"/>
        <v>0</v>
      </c>
      <c r="T31" s="17">
        <f t="shared" si="9"/>
        <v>0</v>
      </c>
      <c r="U31" s="17">
        <f t="shared" si="10"/>
        <v>0</v>
      </c>
      <c r="V31" s="39"/>
      <c r="W31" s="38">
        <f t="shared" si="11"/>
        <v>0</v>
      </c>
      <c r="X31" s="38">
        <f t="shared" si="12"/>
        <v>0</v>
      </c>
      <c r="Y31" s="7"/>
    </row>
    <row r="32" spans="1:29">
      <c r="V32" s="39"/>
      <c r="W32" s="39"/>
      <c r="X32" s="39"/>
      <c r="Y32" s="7"/>
    </row>
    <row r="33" spans="1:29" s="19" customFormat="1">
      <c r="A33" s="19" t="s">
        <v>845</v>
      </c>
      <c r="B33" s="18"/>
      <c r="C33" s="18"/>
      <c r="D33" s="18"/>
      <c r="E33" s="18"/>
      <c r="F33" s="21"/>
      <c r="G33" s="35"/>
      <c r="H33" s="21"/>
      <c r="I33" s="21"/>
      <c r="J33" s="20"/>
      <c r="K33" s="23" t="e">
        <f>SUM(K3:K31)</f>
        <v>#VALUE!</v>
      </c>
      <c r="L33" s="23" t="e">
        <f t="shared" ref="L33:U33" si="14">SUM(L3:L31)</f>
        <v>#VALUE!</v>
      </c>
      <c r="M33" s="24"/>
      <c r="N33" s="24">
        <f t="shared" si="14"/>
        <v>29.65</v>
      </c>
      <c r="O33" s="24">
        <f t="shared" si="14"/>
        <v>44.474999999999994</v>
      </c>
      <c r="P33" s="25"/>
      <c r="Q33" s="25">
        <f t="shared" si="14"/>
        <v>16.2</v>
      </c>
      <c r="R33" s="25">
        <f t="shared" si="14"/>
        <v>24.299999999999997</v>
      </c>
      <c r="S33" s="26"/>
      <c r="T33" s="26">
        <f t="shared" si="14"/>
        <v>59.35</v>
      </c>
      <c r="U33" s="26">
        <f t="shared" si="14"/>
        <v>89.025000000000006</v>
      </c>
      <c r="V33" s="40"/>
      <c r="W33" s="40">
        <f t="shared" ref="W33:X33" si="15">SUM(W3:W31)</f>
        <v>44.9375</v>
      </c>
      <c r="X33" s="40">
        <f t="shared" si="15"/>
        <v>67.40625</v>
      </c>
      <c r="Y33" s="40"/>
      <c r="Z33" s="40"/>
      <c r="AA33" s="40"/>
      <c r="AB33" s="40"/>
      <c r="AC33" s="40"/>
    </row>
    <row r="34" spans="1:29">
      <c r="A34" s="7" t="s">
        <v>800</v>
      </c>
      <c r="K34" s="30">
        <f>(20*1.33)*5/60</f>
        <v>2.2166666666666668</v>
      </c>
      <c r="L34" s="30">
        <f>((20*1.33)*5/60)*1.5</f>
        <v>3.3250000000000002</v>
      </c>
      <c r="M34" s="31"/>
      <c r="N34" s="31">
        <f>(20*1.33)*7.5/60</f>
        <v>3.3250000000000002</v>
      </c>
      <c r="O34" s="31">
        <f>((20*1.33)*7/60)*1.5</f>
        <v>4.6550000000000002</v>
      </c>
      <c r="P34" s="32"/>
      <c r="Q34" s="32">
        <f>(20*1.33)*5/60</f>
        <v>2.2166666666666668</v>
      </c>
      <c r="R34" s="32">
        <f>(20*1.33)*7/60</f>
        <v>3.1033333333333335</v>
      </c>
      <c r="S34" s="33"/>
      <c r="T34" s="33">
        <f>(20*1.33)*10/60</f>
        <v>4.4333333333333336</v>
      </c>
      <c r="U34" s="33">
        <f>((20*1.33)*10/60)*1.5</f>
        <v>6.65</v>
      </c>
      <c r="V34" s="41"/>
      <c r="W34" s="41">
        <f>(20*1.33)*10/60</f>
        <v>4.4333333333333336</v>
      </c>
      <c r="X34" s="41">
        <f>((20*1.33)*10/60)*1.5</f>
        <v>6.65</v>
      </c>
      <c r="Y34" s="41"/>
      <c r="Z34" s="41"/>
      <c r="AA34" s="41"/>
      <c r="AB34" s="41"/>
      <c r="AC34" s="41"/>
    </row>
    <row r="35" spans="1:29">
      <c r="A35" s="7" t="s">
        <v>802</v>
      </c>
      <c r="K35" s="23" t="e">
        <f>SUM(K33:K34)</f>
        <v>#VALUE!</v>
      </c>
      <c r="L35" s="23" t="e">
        <f t="shared" ref="L35:U35" si="16">SUM(L33:L34)</f>
        <v>#VALUE!</v>
      </c>
      <c r="M35" s="24"/>
      <c r="N35" s="24">
        <f t="shared" si="16"/>
        <v>32.975000000000001</v>
      </c>
      <c r="O35" s="24">
        <f t="shared" si="16"/>
        <v>49.129999999999995</v>
      </c>
      <c r="P35" s="25"/>
      <c r="Q35" s="25">
        <f t="shared" si="16"/>
        <v>18.416666666666664</v>
      </c>
      <c r="R35" s="25">
        <f t="shared" si="16"/>
        <v>27.403333333333329</v>
      </c>
      <c r="S35" s="26"/>
      <c r="T35" s="26">
        <f t="shared" si="16"/>
        <v>63.783333333333331</v>
      </c>
      <c r="U35" s="26">
        <f t="shared" si="16"/>
        <v>95.675000000000011</v>
      </c>
      <c r="V35" s="40"/>
      <c r="W35" s="40">
        <f t="shared" ref="W35:X35" si="17">SUM(W33:W34)</f>
        <v>49.370833333333337</v>
      </c>
      <c r="X35" s="40">
        <f t="shared" si="17"/>
        <v>74.056250000000006</v>
      </c>
      <c r="Y35" s="40"/>
      <c r="Z35" s="40"/>
      <c r="AA35" s="40"/>
      <c r="AB35" s="40"/>
      <c r="AC35" s="40"/>
    </row>
    <row r="36" spans="1:29">
      <c r="K36" s="27"/>
      <c r="L36" s="27"/>
      <c r="M36" s="28"/>
      <c r="N36" s="28"/>
      <c r="O36" s="28"/>
      <c r="P36" s="29"/>
      <c r="Q36" s="29"/>
      <c r="R36" s="29"/>
      <c r="S36" s="13"/>
      <c r="T36" s="13"/>
      <c r="U36" s="13"/>
      <c r="V36" s="42"/>
      <c r="W36" s="42"/>
      <c r="X36" s="42"/>
      <c r="Y36" s="7"/>
    </row>
    <row r="37" spans="1:29">
      <c r="A37" s="7" t="s">
        <v>803</v>
      </c>
      <c r="K37" s="27"/>
      <c r="L37" s="27"/>
      <c r="M37" s="28"/>
      <c r="N37" s="28"/>
      <c r="O37" s="28"/>
      <c r="P37" s="29"/>
      <c r="Q37" s="29"/>
      <c r="R37" s="29"/>
      <c r="S37" s="13"/>
      <c r="T37" s="13"/>
      <c r="U37" s="13"/>
      <c r="V37" s="42"/>
      <c r="W37" s="42"/>
      <c r="X37" s="42"/>
      <c r="Y37" s="7"/>
    </row>
    <row r="38" spans="1:29">
      <c r="A38" s="7" t="s">
        <v>804</v>
      </c>
      <c r="K38" s="27"/>
      <c r="L38" s="27"/>
      <c r="M38" s="28"/>
      <c r="N38" s="28"/>
      <c r="O38" s="28"/>
      <c r="P38" s="29"/>
      <c r="Q38" s="29"/>
      <c r="R38" s="29"/>
      <c r="S38" s="13"/>
      <c r="T38" s="13"/>
      <c r="U38" s="13"/>
      <c r="V38" s="42"/>
      <c r="W38" s="42"/>
      <c r="X38" s="42"/>
      <c r="Y38" s="7"/>
    </row>
    <row r="39" spans="1:29">
      <c r="V39" s="39"/>
      <c r="W39" s="39"/>
      <c r="X39" s="39"/>
      <c r="Y39" s="7"/>
    </row>
    <row r="40" spans="1:29">
      <c r="V40" s="39"/>
      <c r="W40" s="39"/>
      <c r="X40" s="39"/>
      <c r="Y40" s="7"/>
    </row>
    <row r="41" spans="1:29">
      <c r="V41" s="39"/>
      <c r="W41" s="39"/>
      <c r="X41" s="39"/>
      <c r="Y41" s="7"/>
    </row>
    <row r="42" spans="1:29">
      <c r="V42" s="39"/>
      <c r="W42" s="39"/>
      <c r="X42" s="39"/>
      <c r="Y42" s="7"/>
    </row>
  </sheetData>
  <mergeCells count="5">
    <mergeCell ref="J2:L2"/>
    <mergeCell ref="M2:O2"/>
    <mergeCell ref="P2:R2"/>
    <mergeCell ref="S2:U2"/>
    <mergeCell ref="V2:X2"/>
  </mergeCells>
  <pageMargins left="0.7" right="0.7" top="0.75" bottom="0.75" header="0.3" footer="0.3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2CC6-53EF-4298-B64E-096B7AAA0CD6}">
  <sheetPr codeName="Sheet19"/>
  <dimension ref="A1:AD42"/>
  <sheetViews>
    <sheetView workbookViewId="0">
      <pane xSplit="1" topLeftCell="V1" activePane="topRight" state="frozen"/>
      <selection pane="topRight" activeCell="V1" sqref="V1"/>
    </sheetView>
  </sheetViews>
  <sheetFormatPr baseColWidth="10" defaultColWidth="10.83203125" defaultRowHeight="16"/>
  <cols>
    <col min="1" max="1" width="20.83203125" style="7" customWidth="1"/>
    <col min="2" max="2" width="10.33203125" style="8" customWidth="1"/>
    <col min="3" max="5" width="10" style="8" customWidth="1"/>
    <col min="6" max="6" width="9" style="22"/>
    <col min="7" max="7" width="9" style="36"/>
    <col min="8" max="9" width="10.83203125" style="22" customWidth="1"/>
    <col min="10" max="12" width="10.83203125" style="9" customWidth="1"/>
    <col min="13" max="15" width="10.83203125" style="10" customWidth="1"/>
    <col min="16" max="18" width="10.83203125" style="11" customWidth="1"/>
    <col min="19" max="21" width="10.83203125" style="12" customWidth="1"/>
    <col min="22" max="24" width="10.83203125" style="43" customWidth="1"/>
    <col min="25" max="25" width="10.83203125" customWidth="1"/>
    <col min="26" max="29" width="10.83203125" style="7" customWidth="1"/>
    <col min="30" max="30" width="11" customWidth="1"/>
    <col min="31" max="16384" width="10.83203125" style="7"/>
  </cols>
  <sheetData>
    <row r="1" spans="1:29" s="1" customFormat="1" ht="75.75" customHeight="1">
      <c r="A1" s="1" t="s">
        <v>6</v>
      </c>
      <c r="B1" s="2" t="s">
        <v>743</v>
      </c>
      <c r="C1" s="2" t="s">
        <v>744</v>
      </c>
      <c r="D1" s="2" t="s">
        <v>745</v>
      </c>
      <c r="E1" s="2" t="s">
        <v>746</v>
      </c>
      <c r="F1" s="1" t="s">
        <v>806</v>
      </c>
      <c r="G1" s="34" t="s">
        <v>748</v>
      </c>
      <c r="H1" s="1" t="s">
        <v>807</v>
      </c>
      <c r="I1" s="1" t="s">
        <v>808</v>
      </c>
      <c r="J1" s="3" t="s">
        <v>809</v>
      </c>
      <c r="K1" s="3" t="s">
        <v>810</v>
      </c>
      <c r="L1" s="3" t="s">
        <v>811</v>
      </c>
      <c r="M1" s="4" t="s">
        <v>812</v>
      </c>
      <c r="N1" s="4" t="s">
        <v>813</v>
      </c>
      <c r="O1" s="4" t="s">
        <v>814</v>
      </c>
      <c r="P1" s="5" t="s">
        <v>755</v>
      </c>
      <c r="Q1" s="5" t="s">
        <v>753</v>
      </c>
      <c r="R1" s="5" t="s">
        <v>815</v>
      </c>
      <c r="S1" s="6" t="s">
        <v>846</v>
      </c>
      <c r="T1" s="6" t="s">
        <v>847</v>
      </c>
      <c r="U1" s="6" t="s">
        <v>848</v>
      </c>
      <c r="V1" s="37"/>
      <c r="W1" s="37"/>
      <c r="X1" s="37"/>
    </row>
    <row r="2" spans="1:29" s="49" customFormat="1" ht="19">
      <c r="A2" s="44" t="s">
        <v>827</v>
      </c>
      <c r="B2" s="51">
        <v>0.5</v>
      </c>
      <c r="C2" s="45"/>
      <c r="D2" s="45"/>
      <c r="E2" s="45"/>
      <c r="F2" s="46"/>
      <c r="G2" s="47"/>
      <c r="H2" s="46"/>
      <c r="I2" s="46"/>
      <c r="J2" s="307">
        <v>24</v>
      </c>
      <c r="K2" s="308"/>
      <c r="L2" s="309"/>
      <c r="M2" s="298">
        <v>15</v>
      </c>
      <c r="N2" s="299"/>
      <c r="O2" s="300"/>
      <c r="P2" s="301">
        <v>10</v>
      </c>
      <c r="Q2" s="302"/>
      <c r="R2" s="303"/>
      <c r="S2" s="304">
        <v>0</v>
      </c>
      <c r="T2" s="305"/>
      <c r="U2" s="306"/>
      <c r="V2" s="283"/>
      <c r="W2" s="284"/>
      <c r="X2" s="285"/>
      <c r="Y2" s="48"/>
      <c r="Z2" s="48"/>
      <c r="AA2" s="48"/>
      <c r="AB2" s="48"/>
      <c r="AC2" s="48"/>
    </row>
    <row r="3" spans="1:29">
      <c r="A3" s="7" t="s">
        <v>849</v>
      </c>
      <c r="B3" s="8">
        <f t="shared" ref="B3:B24" si="0">C3*(1+$B$2)</f>
        <v>5.9625000000000004</v>
      </c>
      <c r="C3" s="8">
        <f t="shared" ref="C3:C6" si="1">AVERAGE(D3:E3)</f>
        <v>3.9750000000000001</v>
      </c>
      <c r="D3" s="8">
        <v>4</v>
      </c>
      <c r="E3" s="8">
        <v>3.95</v>
      </c>
      <c r="F3" s="22">
        <v>27</v>
      </c>
      <c r="G3" s="36">
        <f t="shared" ref="G3:G28" si="2">(I3)+(J3*$J$2)+(M3*$M$2)+(P3*$P$2)+(S3*$S$2)+(V3*$V$2)+(Y3*$Y$2)+(Z3*$Z$2)+(AA3*$AA$2)+(AB3*$AB$2)+(AC3*$AC$2)</f>
        <v>15</v>
      </c>
      <c r="H3" s="22">
        <f t="shared" ref="H3:H31" si="3">SUM(F3,-G3)</f>
        <v>12</v>
      </c>
      <c r="J3" s="9">
        <v>0</v>
      </c>
      <c r="K3" s="14">
        <f t="shared" ref="K3:K31" si="4">J3*C3</f>
        <v>0</v>
      </c>
      <c r="L3" s="14">
        <f t="shared" ref="L3:L31" si="5">J3*B3</f>
        <v>0</v>
      </c>
      <c r="M3" s="10">
        <v>1</v>
      </c>
      <c r="N3" s="15">
        <f t="shared" ref="N3:N31" si="6">M3*C3</f>
        <v>3.9750000000000001</v>
      </c>
      <c r="O3" s="15">
        <f t="shared" ref="O3:O31" si="7">M3*B3</f>
        <v>5.9625000000000004</v>
      </c>
      <c r="Q3" s="16">
        <f t="shared" ref="Q3:Q31" si="8">P3*C3</f>
        <v>0</v>
      </c>
      <c r="R3" s="16">
        <f t="shared" ref="R3:R31" si="9">P3*B3</f>
        <v>0</v>
      </c>
      <c r="S3" s="12">
        <v>0</v>
      </c>
      <c r="T3" s="17">
        <f t="shared" ref="T3:T31" si="10">S3*C3</f>
        <v>0</v>
      </c>
      <c r="U3" s="17">
        <f t="shared" ref="U3:U31" si="11">S3*B3</f>
        <v>0</v>
      </c>
      <c r="V3" s="39"/>
      <c r="W3" s="38"/>
      <c r="X3" s="38"/>
      <c r="Y3" s="7"/>
    </row>
    <row r="4" spans="1:29" hidden="1">
      <c r="A4" s="7" t="s">
        <v>850</v>
      </c>
      <c r="B4" s="8">
        <f t="shared" si="0"/>
        <v>3</v>
      </c>
      <c r="C4" s="8">
        <f t="shared" si="1"/>
        <v>2</v>
      </c>
      <c r="D4" s="8">
        <v>0</v>
      </c>
      <c r="E4" s="8">
        <v>4</v>
      </c>
      <c r="F4" s="22">
        <v>0</v>
      </c>
      <c r="G4" s="36">
        <f t="shared" si="2"/>
        <v>0</v>
      </c>
      <c r="H4" s="22">
        <f t="shared" si="3"/>
        <v>0</v>
      </c>
      <c r="J4" s="9">
        <v>0</v>
      </c>
      <c r="K4" s="14">
        <f t="shared" si="4"/>
        <v>0</v>
      </c>
      <c r="L4" s="14">
        <f t="shared" si="5"/>
        <v>0</v>
      </c>
      <c r="M4" s="10">
        <v>0</v>
      </c>
      <c r="N4" s="15">
        <f t="shared" si="6"/>
        <v>0</v>
      </c>
      <c r="O4" s="15">
        <f t="shared" si="7"/>
        <v>0</v>
      </c>
      <c r="Q4" s="16">
        <f t="shared" si="8"/>
        <v>0</v>
      </c>
      <c r="R4" s="16">
        <f t="shared" si="9"/>
        <v>0</v>
      </c>
      <c r="S4" s="12">
        <v>0</v>
      </c>
      <c r="T4" s="17">
        <f t="shared" si="10"/>
        <v>0</v>
      </c>
      <c r="U4" s="17">
        <f t="shared" si="11"/>
        <v>0</v>
      </c>
      <c r="V4" s="39"/>
      <c r="W4" s="38"/>
      <c r="X4" s="38"/>
      <c r="Y4" s="7"/>
    </row>
    <row r="5" spans="1:29" hidden="1">
      <c r="A5" s="7" t="s">
        <v>851</v>
      </c>
      <c r="B5" s="8">
        <f t="shared" si="0"/>
        <v>2.9625000000000004</v>
      </c>
      <c r="C5" s="8">
        <f t="shared" si="1"/>
        <v>1.9750000000000001</v>
      </c>
      <c r="D5" s="8">
        <v>0</v>
      </c>
      <c r="E5" s="8">
        <v>3.95</v>
      </c>
      <c r="F5" s="22">
        <v>0</v>
      </c>
      <c r="G5" s="36">
        <f t="shared" si="2"/>
        <v>0</v>
      </c>
      <c r="H5" s="22">
        <f t="shared" si="3"/>
        <v>0</v>
      </c>
      <c r="J5" s="9">
        <v>0</v>
      </c>
      <c r="K5" s="14">
        <f t="shared" si="4"/>
        <v>0</v>
      </c>
      <c r="L5" s="14">
        <f t="shared" si="5"/>
        <v>0</v>
      </c>
      <c r="M5" s="10">
        <v>0</v>
      </c>
      <c r="N5" s="15">
        <f t="shared" si="6"/>
        <v>0</v>
      </c>
      <c r="O5" s="15">
        <f t="shared" si="7"/>
        <v>0</v>
      </c>
      <c r="Q5" s="16">
        <f t="shared" si="8"/>
        <v>0</v>
      </c>
      <c r="R5" s="16">
        <f t="shared" si="9"/>
        <v>0</v>
      </c>
      <c r="S5" s="12">
        <v>0</v>
      </c>
      <c r="T5" s="17">
        <f t="shared" si="10"/>
        <v>0</v>
      </c>
      <c r="U5" s="17">
        <f t="shared" si="11"/>
        <v>0</v>
      </c>
      <c r="V5" s="39"/>
      <c r="W5" s="38"/>
      <c r="X5" s="38"/>
      <c r="Y5" s="7"/>
    </row>
    <row r="6" spans="1:29" hidden="1">
      <c r="A6" s="7" t="s">
        <v>852</v>
      </c>
      <c r="B6" s="8">
        <f t="shared" si="0"/>
        <v>2.7374999999999998</v>
      </c>
      <c r="C6" s="8">
        <f t="shared" si="1"/>
        <v>1.825</v>
      </c>
      <c r="D6" s="8">
        <v>0</v>
      </c>
      <c r="E6" s="8">
        <v>3.65</v>
      </c>
      <c r="F6" s="22">
        <v>0</v>
      </c>
      <c r="G6" s="36">
        <f t="shared" si="2"/>
        <v>0</v>
      </c>
      <c r="H6" s="22">
        <f t="shared" si="3"/>
        <v>0</v>
      </c>
      <c r="J6" s="9">
        <v>0</v>
      </c>
      <c r="K6" s="14">
        <f t="shared" si="4"/>
        <v>0</v>
      </c>
      <c r="L6" s="14">
        <f t="shared" si="5"/>
        <v>0</v>
      </c>
      <c r="M6" s="10">
        <v>0</v>
      </c>
      <c r="N6" s="15">
        <f t="shared" si="6"/>
        <v>0</v>
      </c>
      <c r="O6" s="15">
        <f t="shared" si="7"/>
        <v>0</v>
      </c>
      <c r="Q6" s="16">
        <f t="shared" si="8"/>
        <v>0</v>
      </c>
      <c r="R6" s="16">
        <f t="shared" si="9"/>
        <v>0</v>
      </c>
      <c r="S6" s="12">
        <v>0</v>
      </c>
      <c r="T6" s="17">
        <f t="shared" si="10"/>
        <v>0</v>
      </c>
      <c r="U6" s="17">
        <f t="shared" si="11"/>
        <v>0</v>
      </c>
      <c r="V6" s="39"/>
      <c r="W6" s="38"/>
      <c r="X6" s="38"/>
      <c r="Y6" s="7"/>
    </row>
    <row r="7" spans="1:29">
      <c r="A7" s="7" t="s">
        <v>768</v>
      </c>
      <c r="B7" s="8">
        <f t="shared" si="0"/>
        <v>2.4749999999999996</v>
      </c>
      <c r="C7" s="8">
        <f t="shared" ref="C7:C17" si="12">AVERAGE(D7:E7)</f>
        <v>1.65</v>
      </c>
      <c r="D7" s="8">
        <v>1.5</v>
      </c>
      <c r="E7" s="8">
        <v>1.8</v>
      </c>
      <c r="F7" s="22">
        <v>500</v>
      </c>
      <c r="G7" s="36">
        <f t="shared" si="2"/>
        <v>342</v>
      </c>
      <c r="H7" s="22">
        <f t="shared" si="3"/>
        <v>158</v>
      </c>
      <c r="J7" s="9">
        <v>8</v>
      </c>
      <c r="K7" s="14">
        <f t="shared" si="4"/>
        <v>13.2</v>
      </c>
      <c r="L7" s="14">
        <f t="shared" si="5"/>
        <v>19.799999999999997</v>
      </c>
      <c r="M7" s="10">
        <v>8</v>
      </c>
      <c r="N7" s="15">
        <f t="shared" si="6"/>
        <v>13.2</v>
      </c>
      <c r="O7" s="15">
        <f t="shared" si="7"/>
        <v>19.799999999999997</v>
      </c>
      <c r="P7" s="11">
        <v>3</v>
      </c>
      <c r="Q7" s="16">
        <f t="shared" si="8"/>
        <v>4.9499999999999993</v>
      </c>
      <c r="R7" s="16">
        <f t="shared" si="9"/>
        <v>7.4249999999999989</v>
      </c>
      <c r="S7" s="12">
        <v>0</v>
      </c>
      <c r="T7" s="17">
        <f t="shared" si="10"/>
        <v>0</v>
      </c>
      <c r="U7" s="17">
        <f t="shared" si="11"/>
        <v>0</v>
      </c>
      <c r="V7" s="39"/>
      <c r="W7" s="38"/>
      <c r="X7" s="38"/>
      <c r="Y7" s="7"/>
    </row>
    <row r="8" spans="1:29">
      <c r="A8" s="7" t="s">
        <v>179</v>
      </c>
      <c r="B8" s="8">
        <f t="shared" si="0"/>
        <v>2.4000000000000004</v>
      </c>
      <c r="C8" s="8">
        <f t="shared" si="12"/>
        <v>1.6</v>
      </c>
      <c r="D8" s="8">
        <v>1.5</v>
      </c>
      <c r="E8" s="8">
        <v>1.7</v>
      </c>
      <c r="F8" s="22">
        <v>50</v>
      </c>
      <c r="G8" s="36">
        <f t="shared" si="2"/>
        <v>39</v>
      </c>
      <c r="H8" s="22">
        <f t="shared" si="3"/>
        <v>11</v>
      </c>
      <c r="J8" s="9">
        <v>1</v>
      </c>
      <c r="K8" s="14">
        <f t="shared" si="4"/>
        <v>1.6</v>
      </c>
      <c r="L8" s="14">
        <f t="shared" si="5"/>
        <v>2.4000000000000004</v>
      </c>
      <c r="M8" s="10">
        <v>1</v>
      </c>
      <c r="N8" s="15">
        <f t="shared" si="6"/>
        <v>1.6</v>
      </c>
      <c r="O8" s="15">
        <f t="shared" si="7"/>
        <v>2.4000000000000004</v>
      </c>
      <c r="Q8" s="16">
        <f t="shared" si="8"/>
        <v>0</v>
      </c>
      <c r="R8" s="16">
        <f t="shared" si="9"/>
        <v>0</v>
      </c>
      <c r="S8" s="12">
        <v>0</v>
      </c>
      <c r="T8" s="17">
        <f t="shared" si="10"/>
        <v>0</v>
      </c>
      <c r="U8" s="17">
        <f t="shared" si="11"/>
        <v>0</v>
      </c>
      <c r="V8" s="39"/>
      <c r="W8" s="38"/>
      <c r="X8" s="38"/>
      <c r="Y8" s="7"/>
    </row>
    <row r="9" spans="1:29">
      <c r="A9" s="7" t="s">
        <v>832</v>
      </c>
      <c r="B9" s="8">
        <f t="shared" si="0"/>
        <v>2.625</v>
      </c>
      <c r="C9" s="8">
        <f t="shared" si="12"/>
        <v>1.75</v>
      </c>
      <c r="D9" s="8">
        <v>1.5</v>
      </c>
      <c r="E9" s="8">
        <v>2</v>
      </c>
      <c r="F9" s="22">
        <v>40</v>
      </c>
      <c r="G9" s="36">
        <f t="shared" si="2"/>
        <v>54</v>
      </c>
      <c r="H9" s="22">
        <f t="shared" si="3"/>
        <v>-14</v>
      </c>
      <c r="J9" s="9">
        <v>1</v>
      </c>
      <c r="K9" s="14">
        <f t="shared" si="4"/>
        <v>1.75</v>
      </c>
      <c r="L9" s="14">
        <f t="shared" si="5"/>
        <v>2.625</v>
      </c>
      <c r="M9" s="10">
        <v>2</v>
      </c>
      <c r="N9" s="15">
        <f t="shared" si="6"/>
        <v>3.5</v>
      </c>
      <c r="O9" s="15">
        <f t="shared" si="7"/>
        <v>5.25</v>
      </c>
      <c r="Q9" s="16">
        <f t="shared" si="8"/>
        <v>0</v>
      </c>
      <c r="R9" s="16">
        <f t="shared" si="9"/>
        <v>0</v>
      </c>
      <c r="S9" s="12">
        <v>0</v>
      </c>
      <c r="T9" s="17">
        <f t="shared" si="10"/>
        <v>0</v>
      </c>
      <c r="U9" s="17">
        <f t="shared" si="11"/>
        <v>0</v>
      </c>
      <c r="V9" s="39"/>
      <c r="W9" s="38"/>
      <c r="X9" s="38"/>
      <c r="Y9" s="7"/>
    </row>
    <row r="10" spans="1:29">
      <c r="A10" s="7" t="s">
        <v>833</v>
      </c>
      <c r="B10" s="8">
        <f t="shared" si="0"/>
        <v>2.7750000000000004</v>
      </c>
      <c r="C10" s="8">
        <f t="shared" si="12"/>
        <v>1.85</v>
      </c>
      <c r="D10" s="8">
        <v>1.25</v>
      </c>
      <c r="E10" s="8">
        <v>2.4500000000000002</v>
      </c>
      <c r="F10" s="22">
        <v>5</v>
      </c>
      <c r="G10" s="36">
        <f t="shared" si="2"/>
        <v>0</v>
      </c>
      <c r="H10" s="22">
        <f t="shared" si="3"/>
        <v>5</v>
      </c>
      <c r="J10" s="9">
        <v>0</v>
      </c>
      <c r="K10" s="14">
        <f t="shared" si="4"/>
        <v>0</v>
      </c>
      <c r="L10" s="14">
        <f t="shared" si="5"/>
        <v>0</v>
      </c>
      <c r="M10" s="10">
        <v>0</v>
      </c>
      <c r="N10" s="15">
        <f t="shared" si="6"/>
        <v>0</v>
      </c>
      <c r="O10" s="15">
        <f t="shared" si="7"/>
        <v>0</v>
      </c>
      <c r="Q10" s="16">
        <f t="shared" si="8"/>
        <v>0</v>
      </c>
      <c r="R10" s="16">
        <f t="shared" si="9"/>
        <v>0</v>
      </c>
      <c r="S10" s="12">
        <v>0</v>
      </c>
      <c r="T10" s="17">
        <f t="shared" si="10"/>
        <v>0</v>
      </c>
      <c r="U10" s="17">
        <f t="shared" si="11"/>
        <v>0</v>
      </c>
      <c r="V10" s="39"/>
      <c r="W10" s="38"/>
      <c r="X10" s="38"/>
      <c r="Y10" s="7"/>
    </row>
    <row r="11" spans="1:29" hidden="1">
      <c r="A11" s="7" t="s">
        <v>778</v>
      </c>
      <c r="B11" s="8">
        <f t="shared" si="0"/>
        <v>3</v>
      </c>
      <c r="C11" s="8">
        <f t="shared" si="12"/>
        <v>2</v>
      </c>
      <c r="D11" s="8">
        <v>1</v>
      </c>
      <c r="E11" s="8">
        <v>3</v>
      </c>
      <c r="F11" s="22">
        <v>0</v>
      </c>
      <c r="G11" s="36">
        <f t="shared" si="2"/>
        <v>0</v>
      </c>
      <c r="H11" s="22">
        <f t="shared" si="3"/>
        <v>0</v>
      </c>
      <c r="J11" s="9">
        <v>0</v>
      </c>
      <c r="K11" s="14">
        <f t="shared" si="4"/>
        <v>0</v>
      </c>
      <c r="L11" s="14">
        <f t="shared" si="5"/>
        <v>0</v>
      </c>
      <c r="M11" s="10">
        <v>0</v>
      </c>
      <c r="N11" s="15">
        <f t="shared" si="6"/>
        <v>0</v>
      </c>
      <c r="O11" s="15">
        <f t="shared" si="7"/>
        <v>0</v>
      </c>
      <c r="Q11" s="16">
        <f t="shared" si="8"/>
        <v>0</v>
      </c>
      <c r="R11" s="16">
        <f t="shared" si="9"/>
        <v>0</v>
      </c>
      <c r="S11" s="12">
        <v>0</v>
      </c>
      <c r="T11" s="17">
        <f t="shared" si="10"/>
        <v>0</v>
      </c>
      <c r="U11" s="17">
        <f t="shared" si="11"/>
        <v>0</v>
      </c>
      <c r="V11" s="39"/>
      <c r="W11" s="38"/>
      <c r="X11" s="38"/>
      <c r="Y11" s="7"/>
    </row>
    <row r="12" spans="1:29" hidden="1">
      <c r="A12" s="7" t="s">
        <v>834</v>
      </c>
      <c r="B12" s="8">
        <f t="shared" si="0"/>
        <v>2.25</v>
      </c>
      <c r="C12" s="8">
        <f t="shared" si="12"/>
        <v>1.5</v>
      </c>
      <c r="D12" s="13">
        <v>1.5</v>
      </c>
      <c r="F12" s="22">
        <v>0</v>
      </c>
      <c r="G12" s="36">
        <f t="shared" si="2"/>
        <v>0</v>
      </c>
      <c r="H12" s="22">
        <f t="shared" si="3"/>
        <v>0</v>
      </c>
      <c r="J12" s="9">
        <v>0</v>
      </c>
      <c r="K12" s="14">
        <f t="shared" si="4"/>
        <v>0</v>
      </c>
      <c r="L12" s="14">
        <f t="shared" si="5"/>
        <v>0</v>
      </c>
      <c r="M12" s="10">
        <v>0</v>
      </c>
      <c r="N12" s="15">
        <f t="shared" si="6"/>
        <v>0</v>
      </c>
      <c r="O12" s="15">
        <f t="shared" si="7"/>
        <v>0</v>
      </c>
      <c r="Q12" s="16">
        <f t="shared" si="8"/>
        <v>0</v>
      </c>
      <c r="R12" s="16">
        <f t="shared" si="9"/>
        <v>0</v>
      </c>
      <c r="S12" s="12">
        <v>0</v>
      </c>
      <c r="T12" s="17">
        <f t="shared" si="10"/>
        <v>0</v>
      </c>
      <c r="U12" s="17">
        <f t="shared" si="11"/>
        <v>0</v>
      </c>
      <c r="V12" s="39"/>
      <c r="W12" s="38"/>
      <c r="X12" s="38"/>
      <c r="Y12" s="7"/>
    </row>
    <row r="13" spans="1:29" hidden="1">
      <c r="A13" s="7" t="s">
        <v>180</v>
      </c>
      <c r="B13" s="8">
        <f t="shared" si="0"/>
        <v>1.7249999999999999</v>
      </c>
      <c r="C13" s="8">
        <f t="shared" si="12"/>
        <v>1.1499999999999999</v>
      </c>
      <c r="D13" s="8">
        <v>1.1499999999999999</v>
      </c>
      <c r="F13" s="22">
        <v>0</v>
      </c>
      <c r="G13" s="36">
        <f t="shared" si="2"/>
        <v>24</v>
      </c>
      <c r="H13" s="22">
        <f t="shared" si="3"/>
        <v>-24</v>
      </c>
      <c r="J13" s="9">
        <v>1</v>
      </c>
      <c r="K13" s="14">
        <f t="shared" si="4"/>
        <v>1.1499999999999999</v>
      </c>
      <c r="L13" s="14">
        <f t="shared" si="5"/>
        <v>1.7249999999999999</v>
      </c>
      <c r="M13" s="10">
        <v>0</v>
      </c>
      <c r="N13" s="15">
        <f t="shared" si="6"/>
        <v>0</v>
      </c>
      <c r="O13" s="15">
        <f t="shared" si="7"/>
        <v>0</v>
      </c>
      <c r="Q13" s="16">
        <f t="shared" si="8"/>
        <v>0</v>
      </c>
      <c r="R13" s="16">
        <f t="shared" si="9"/>
        <v>0</v>
      </c>
      <c r="S13" s="12">
        <v>0</v>
      </c>
      <c r="T13" s="17">
        <f t="shared" si="10"/>
        <v>0</v>
      </c>
      <c r="U13" s="17">
        <f t="shared" si="11"/>
        <v>0</v>
      </c>
      <c r="V13" s="39"/>
      <c r="W13" s="38"/>
      <c r="X13" s="38"/>
      <c r="Y13" s="7"/>
    </row>
    <row r="14" spans="1:29">
      <c r="A14" s="7" t="s">
        <v>835</v>
      </c>
      <c r="B14" s="8">
        <f t="shared" si="0"/>
        <v>4.5</v>
      </c>
      <c r="C14" s="8">
        <f t="shared" si="12"/>
        <v>3</v>
      </c>
      <c r="D14" s="8">
        <v>2</v>
      </c>
      <c r="E14" s="8">
        <v>4</v>
      </c>
      <c r="F14" s="22">
        <v>50</v>
      </c>
      <c r="G14" s="36">
        <f t="shared" si="2"/>
        <v>39</v>
      </c>
      <c r="H14" s="22">
        <f t="shared" si="3"/>
        <v>11</v>
      </c>
      <c r="J14" s="9">
        <v>1</v>
      </c>
      <c r="K14" s="14">
        <f t="shared" si="4"/>
        <v>3</v>
      </c>
      <c r="L14" s="14">
        <f t="shared" si="5"/>
        <v>4.5</v>
      </c>
      <c r="M14" s="10">
        <v>1</v>
      </c>
      <c r="N14" s="15">
        <f t="shared" si="6"/>
        <v>3</v>
      </c>
      <c r="O14" s="15">
        <f t="shared" si="7"/>
        <v>4.5</v>
      </c>
      <c r="Q14" s="16">
        <f t="shared" si="8"/>
        <v>0</v>
      </c>
      <c r="R14" s="16">
        <f t="shared" si="9"/>
        <v>0</v>
      </c>
      <c r="S14" s="12">
        <v>0</v>
      </c>
      <c r="T14" s="17">
        <f t="shared" si="10"/>
        <v>0</v>
      </c>
      <c r="U14" s="17">
        <f t="shared" si="11"/>
        <v>0</v>
      </c>
      <c r="V14" s="39"/>
      <c r="W14" s="38"/>
      <c r="X14" s="38"/>
      <c r="Y14" s="7"/>
    </row>
    <row r="15" spans="1:29" hidden="1">
      <c r="A15" s="7" t="s">
        <v>836</v>
      </c>
      <c r="B15" s="8">
        <f t="shared" si="0"/>
        <v>1.7249999999999999</v>
      </c>
      <c r="C15" s="8">
        <f t="shared" si="12"/>
        <v>1.1499999999999999</v>
      </c>
      <c r="D15" s="8">
        <v>1.25</v>
      </c>
      <c r="E15" s="8">
        <v>1.05</v>
      </c>
      <c r="F15" s="22">
        <v>0</v>
      </c>
      <c r="G15" s="36">
        <f t="shared" si="2"/>
        <v>0</v>
      </c>
      <c r="H15" s="22">
        <f t="shared" si="3"/>
        <v>0</v>
      </c>
      <c r="J15" s="9">
        <v>0</v>
      </c>
      <c r="K15" s="14">
        <f t="shared" si="4"/>
        <v>0</v>
      </c>
      <c r="L15" s="14">
        <f t="shared" si="5"/>
        <v>0</v>
      </c>
      <c r="N15" s="15">
        <f t="shared" si="6"/>
        <v>0</v>
      </c>
      <c r="O15" s="15">
        <f t="shared" si="7"/>
        <v>0</v>
      </c>
      <c r="Q15" s="16">
        <f t="shared" si="8"/>
        <v>0</v>
      </c>
      <c r="R15" s="16">
        <f t="shared" si="9"/>
        <v>0</v>
      </c>
      <c r="T15" s="17">
        <f t="shared" si="10"/>
        <v>0</v>
      </c>
      <c r="U15" s="17">
        <f t="shared" si="11"/>
        <v>0</v>
      </c>
      <c r="V15" s="39"/>
      <c r="W15" s="38"/>
      <c r="X15" s="38"/>
      <c r="Y15" s="7"/>
    </row>
    <row r="16" spans="1:29">
      <c r="A16" s="7" t="s">
        <v>772</v>
      </c>
      <c r="B16" s="8">
        <f t="shared" si="0"/>
        <v>2.5499999999999998</v>
      </c>
      <c r="C16" s="8">
        <f t="shared" si="12"/>
        <v>1.7</v>
      </c>
      <c r="E16" s="8">
        <v>1.7</v>
      </c>
      <c r="F16" s="22">
        <v>2</v>
      </c>
      <c r="G16" s="36">
        <f t="shared" si="2"/>
        <v>0</v>
      </c>
      <c r="H16" s="22">
        <f t="shared" si="3"/>
        <v>2</v>
      </c>
      <c r="J16" s="9">
        <v>0</v>
      </c>
      <c r="K16" s="14">
        <f t="shared" si="4"/>
        <v>0</v>
      </c>
      <c r="L16" s="14">
        <f t="shared" si="5"/>
        <v>0</v>
      </c>
      <c r="M16" s="10">
        <v>0</v>
      </c>
      <c r="N16" s="15">
        <f t="shared" si="6"/>
        <v>0</v>
      </c>
      <c r="O16" s="15">
        <f t="shared" si="7"/>
        <v>0</v>
      </c>
      <c r="Q16" s="16">
        <f t="shared" si="8"/>
        <v>0</v>
      </c>
      <c r="R16" s="16">
        <f t="shared" si="9"/>
        <v>0</v>
      </c>
      <c r="S16" s="12">
        <v>0</v>
      </c>
      <c r="T16" s="17">
        <f t="shared" si="10"/>
        <v>0</v>
      </c>
      <c r="U16" s="17">
        <f t="shared" si="11"/>
        <v>0</v>
      </c>
      <c r="V16" s="39"/>
      <c r="W16" s="38"/>
      <c r="X16" s="38"/>
      <c r="Y16" s="7"/>
    </row>
    <row r="17" spans="1:25">
      <c r="A17" s="7" t="s">
        <v>837</v>
      </c>
      <c r="B17" s="8">
        <f t="shared" si="0"/>
        <v>2.25</v>
      </c>
      <c r="C17" s="8">
        <f t="shared" si="12"/>
        <v>1.5</v>
      </c>
      <c r="D17" s="13">
        <v>1.5</v>
      </c>
      <c r="F17" s="22">
        <v>15</v>
      </c>
      <c r="G17" s="36">
        <f t="shared" si="2"/>
        <v>15</v>
      </c>
      <c r="H17" s="22">
        <f t="shared" si="3"/>
        <v>0</v>
      </c>
      <c r="J17" s="9">
        <v>0</v>
      </c>
      <c r="K17" s="14">
        <f t="shared" si="4"/>
        <v>0</v>
      </c>
      <c r="L17" s="14">
        <f t="shared" si="5"/>
        <v>0</v>
      </c>
      <c r="M17" s="10">
        <v>1</v>
      </c>
      <c r="N17" s="15">
        <f t="shared" si="6"/>
        <v>1.5</v>
      </c>
      <c r="O17" s="15">
        <f t="shared" si="7"/>
        <v>2.25</v>
      </c>
      <c r="Q17" s="16">
        <f t="shared" si="8"/>
        <v>0</v>
      </c>
      <c r="R17" s="16">
        <f t="shared" si="9"/>
        <v>0</v>
      </c>
      <c r="S17" s="12">
        <v>0</v>
      </c>
      <c r="T17" s="17">
        <f t="shared" si="10"/>
        <v>0</v>
      </c>
      <c r="U17" s="17">
        <f t="shared" si="11"/>
        <v>0</v>
      </c>
      <c r="V17" s="39"/>
      <c r="W17" s="38"/>
      <c r="X17" s="38"/>
      <c r="Y17" s="7"/>
    </row>
    <row r="18" spans="1:25">
      <c r="A18" s="7" t="s">
        <v>853</v>
      </c>
      <c r="B18" s="8">
        <f t="shared" si="0"/>
        <v>2.25</v>
      </c>
      <c r="C18" s="8">
        <f t="shared" ref="C18:C24" si="13">AVERAGE(D18:E18)</f>
        <v>1.5</v>
      </c>
      <c r="D18" s="8">
        <v>1.5</v>
      </c>
      <c r="F18" s="22">
        <v>40</v>
      </c>
      <c r="G18" s="36">
        <f t="shared" si="2"/>
        <v>24</v>
      </c>
      <c r="H18" s="22">
        <f t="shared" si="3"/>
        <v>16</v>
      </c>
      <c r="J18" s="9">
        <v>1</v>
      </c>
      <c r="K18" s="14">
        <f t="shared" si="4"/>
        <v>1.5</v>
      </c>
      <c r="L18" s="14">
        <f t="shared" si="5"/>
        <v>2.25</v>
      </c>
      <c r="M18" s="10">
        <v>0</v>
      </c>
      <c r="N18" s="15">
        <f t="shared" si="6"/>
        <v>0</v>
      </c>
      <c r="O18" s="15">
        <f t="shared" si="7"/>
        <v>0</v>
      </c>
      <c r="Q18" s="16">
        <f t="shared" si="8"/>
        <v>0</v>
      </c>
      <c r="R18" s="16">
        <f t="shared" si="9"/>
        <v>0</v>
      </c>
      <c r="S18" s="12">
        <v>0</v>
      </c>
      <c r="T18" s="17">
        <f t="shared" si="10"/>
        <v>0</v>
      </c>
      <c r="U18" s="17">
        <f t="shared" si="11"/>
        <v>0</v>
      </c>
      <c r="V18" s="39"/>
      <c r="W18" s="38"/>
      <c r="X18" s="38"/>
      <c r="Y18" s="7"/>
    </row>
    <row r="19" spans="1:25">
      <c r="A19" s="7" t="s">
        <v>840</v>
      </c>
      <c r="B19" s="8">
        <f t="shared" si="0"/>
        <v>2.25</v>
      </c>
      <c r="C19" s="8">
        <f t="shared" si="13"/>
        <v>1.5</v>
      </c>
      <c r="D19" s="13">
        <v>1.5</v>
      </c>
      <c r="F19" s="22">
        <v>30</v>
      </c>
      <c r="G19" s="36">
        <f t="shared" si="2"/>
        <v>0</v>
      </c>
      <c r="H19" s="22">
        <f t="shared" si="3"/>
        <v>30</v>
      </c>
      <c r="J19" s="9">
        <v>0</v>
      </c>
      <c r="K19" s="14">
        <f t="shared" si="4"/>
        <v>0</v>
      </c>
      <c r="L19" s="14">
        <f t="shared" si="5"/>
        <v>0</v>
      </c>
      <c r="M19" s="10">
        <v>0</v>
      </c>
      <c r="N19" s="15">
        <f t="shared" si="6"/>
        <v>0</v>
      </c>
      <c r="O19" s="15">
        <f t="shared" si="7"/>
        <v>0</v>
      </c>
      <c r="Q19" s="16">
        <f t="shared" si="8"/>
        <v>0</v>
      </c>
      <c r="R19" s="16">
        <f t="shared" si="9"/>
        <v>0</v>
      </c>
      <c r="S19" s="12">
        <v>0</v>
      </c>
      <c r="T19" s="17">
        <f t="shared" si="10"/>
        <v>0</v>
      </c>
      <c r="U19" s="17">
        <f t="shared" si="11"/>
        <v>0</v>
      </c>
      <c r="V19" s="39"/>
      <c r="W19" s="38"/>
      <c r="X19" s="38"/>
      <c r="Y19" s="7"/>
    </row>
    <row r="20" spans="1:25" hidden="1">
      <c r="A20" s="7" t="s">
        <v>779</v>
      </c>
      <c r="B20" s="8">
        <f t="shared" si="0"/>
        <v>1.7999999999999998</v>
      </c>
      <c r="C20" s="8">
        <f t="shared" si="13"/>
        <v>1.2</v>
      </c>
      <c r="D20" s="13">
        <v>1.2</v>
      </c>
      <c r="F20" s="22">
        <v>0</v>
      </c>
      <c r="G20" s="36">
        <f t="shared" si="2"/>
        <v>0</v>
      </c>
      <c r="H20" s="22">
        <f t="shared" si="3"/>
        <v>0</v>
      </c>
      <c r="K20" s="14">
        <f t="shared" si="4"/>
        <v>0</v>
      </c>
      <c r="L20" s="14">
        <f t="shared" si="5"/>
        <v>0</v>
      </c>
      <c r="N20" s="15">
        <f t="shared" si="6"/>
        <v>0</v>
      </c>
      <c r="O20" s="15">
        <f t="shared" si="7"/>
        <v>0</v>
      </c>
      <c r="Q20" s="16">
        <f t="shared" si="8"/>
        <v>0</v>
      </c>
      <c r="R20" s="16">
        <f t="shared" si="9"/>
        <v>0</v>
      </c>
      <c r="S20" s="12">
        <v>0</v>
      </c>
      <c r="T20" s="17">
        <f t="shared" si="10"/>
        <v>0</v>
      </c>
      <c r="U20" s="17">
        <f t="shared" si="11"/>
        <v>0</v>
      </c>
      <c r="V20" s="39"/>
      <c r="W20" s="38"/>
      <c r="X20" s="38"/>
      <c r="Y20" s="7"/>
    </row>
    <row r="21" spans="1:25">
      <c r="A21" s="7" t="s">
        <v>793</v>
      </c>
      <c r="B21" s="8">
        <f t="shared" si="0"/>
        <v>1.6500000000000001</v>
      </c>
      <c r="C21" s="8">
        <f t="shared" si="13"/>
        <v>1.1000000000000001</v>
      </c>
      <c r="D21" s="8">
        <v>1.1000000000000001</v>
      </c>
      <c r="F21" s="22">
        <v>40</v>
      </c>
      <c r="G21" s="36">
        <f t="shared" si="2"/>
        <v>34</v>
      </c>
      <c r="H21" s="22">
        <f t="shared" si="3"/>
        <v>6</v>
      </c>
      <c r="J21" s="9">
        <v>1</v>
      </c>
      <c r="K21" s="14">
        <f t="shared" si="4"/>
        <v>1.1000000000000001</v>
      </c>
      <c r="L21" s="14">
        <f t="shared" si="5"/>
        <v>1.6500000000000001</v>
      </c>
      <c r="M21" s="10">
        <v>0</v>
      </c>
      <c r="N21" s="15">
        <f t="shared" si="6"/>
        <v>0</v>
      </c>
      <c r="O21" s="15">
        <f t="shared" si="7"/>
        <v>0</v>
      </c>
      <c r="P21" s="11">
        <v>1</v>
      </c>
      <c r="Q21" s="16">
        <f t="shared" si="8"/>
        <v>1.1000000000000001</v>
      </c>
      <c r="R21" s="16">
        <f t="shared" si="9"/>
        <v>1.6500000000000001</v>
      </c>
      <c r="T21" s="17">
        <f t="shared" si="10"/>
        <v>0</v>
      </c>
      <c r="U21" s="17">
        <f t="shared" si="11"/>
        <v>0</v>
      </c>
      <c r="V21" s="39"/>
      <c r="W21" s="38"/>
      <c r="X21" s="38"/>
      <c r="Y21" s="7"/>
    </row>
    <row r="22" spans="1:25">
      <c r="A22" s="7" t="s">
        <v>842</v>
      </c>
      <c r="B22" s="8">
        <f t="shared" si="0"/>
        <v>2.4000000000000004</v>
      </c>
      <c r="C22" s="8">
        <f t="shared" si="13"/>
        <v>1.6</v>
      </c>
      <c r="D22" s="8">
        <v>1.6</v>
      </c>
      <c r="F22" s="22">
        <v>100</v>
      </c>
      <c r="G22" s="36">
        <f t="shared" si="2"/>
        <v>93</v>
      </c>
      <c r="H22" s="22">
        <f t="shared" si="3"/>
        <v>7</v>
      </c>
      <c r="J22" s="9">
        <v>2</v>
      </c>
      <c r="K22" s="14">
        <f t="shared" si="4"/>
        <v>3.2</v>
      </c>
      <c r="L22" s="14">
        <f t="shared" si="5"/>
        <v>4.8000000000000007</v>
      </c>
      <c r="M22" s="10">
        <v>3</v>
      </c>
      <c r="N22" s="15">
        <f t="shared" si="6"/>
        <v>4.8000000000000007</v>
      </c>
      <c r="O22" s="15">
        <f t="shared" si="7"/>
        <v>7.2000000000000011</v>
      </c>
      <c r="Q22" s="16">
        <f t="shared" si="8"/>
        <v>0</v>
      </c>
      <c r="R22" s="16">
        <f t="shared" si="9"/>
        <v>0</v>
      </c>
      <c r="S22" s="12">
        <v>0</v>
      </c>
      <c r="T22" s="17">
        <f t="shared" si="10"/>
        <v>0</v>
      </c>
      <c r="U22" s="17">
        <f t="shared" si="11"/>
        <v>0</v>
      </c>
      <c r="V22" s="39"/>
      <c r="W22" s="38"/>
      <c r="X22" s="38"/>
      <c r="Y22" s="7"/>
    </row>
    <row r="23" spans="1:25">
      <c r="A23" s="7" t="s">
        <v>843</v>
      </c>
      <c r="B23" s="8">
        <f t="shared" si="0"/>
        <v>2.25</v>
      </c>
      <c r="C23" s="8">
        <f t="shared" si="13"/>
        <v>1.5</v>
      </c>
      <c r="D23" s="13">
        <v>1.5</v>
      </c>
      <c r="F23" s="22">
        <v>40</v>
      </c>
      <c r="G23" s="36">
        <f t="shared" si="2"/>
        <v>39</v>
      </c>
      <c r="H23" s="22">
        <f t="shared" si="3"/>
        <v>1</v>
      </c>
      <c r="J23" s="9">
        <v>1</v>
      </c>
      <c r="K23" s="14">
        <f t="shared" si="4"/>
        <v>1.5</v>
      </c>
      <c r="L23" s="14">
        <f t="shared" si="5"/>
        <v>2.25</v>
      </c>
      <c r="M23" s="10">
        <v>1</v>
      </c>
      <c r="N23" s="15">
        <f t="shared" si="6"/>
        <v>1.5</v>
      </c>
      <c r="O23" s="15">
        <f t="shared" si="7"/>
        <v>2.25</v>
      </c>
      <c r="Q23" s="16">
        <f t="shared" si="8"/>
        <v>0</v>
      </c>
      <c r="R23" s="16">
        <f t="shared" si="9"/>
        <v>0</v>
      </c>
      <c r="T23" s="17">
        <f t="shared" si="10"/>
        <v>0</v>
      </c>
      <c r="U23" s="17">
        <f t="shared" si="11"/>
        <v>0</v>
      </c>
      <c r="V23" s="39"/>
      <c r="W23" s="38"/>
      <c r="X23" s="38"/>
      <c r="Y23" s="7"/>
    </row>
    <row r="24" spans="1:25" hidden="1">
      <c r="A24" s="7" t="s">
        <v>794</v>
      </c>
      <c r="B24" s="8">
        <f t="shared" si="0"/>
        <v>1.875</v>
      </c>
      <c r="C24" s="8">
        <f t="shared" si="13"/>
        <v>1.25</v>
      </c>
      <c r="D24" s="8">
        <v>1.25</v>
      </c>
      <c r="F24" s="22">
        <v>0</v>
      </c>
      <c r="G24" s="36">
        <f t="shared" si="2"/>
        <v>0</v>
      </c>
      <c r="H24" s="22">
        <f t="shared" si="3"/>
        <v>0</v>
      </c>
      <c r="K24" s="14">
        <f t="shared" si="4"/>
        <v>0</v>
      </c>
      <c r="L24" s="14">
        <f t="shared" si="5"/>
        <v>0</v>
      </c>
      <c r="N24" s="15">
        <f t="shared" si="6"/>
        <v>0</v>
      </c>
      <c r="O24" s="15">
        <f t="shared" si="7"/>
        <v>0</v>
      </c>
      <c r="Q24" s="16">
        <f t="shared" si="8"/>
        <v>0</v>
      </c>
      <c r="R24" s="16">
        <f t="shared" si="9"/>
        <v>0</v>
      </c>
      <c r="T24" s="17">
        <f t="shared" si="10"/>
        <v>0</v>
      </c>
      <c r="U24" s="17">
        <f t="shared" si="11"/>
        <v>0</v>
      </c>
      <c r="V24" s="39"/>
      <c r="W24" s="38"/>
      <c r="X24" s="38"/>
      <c r="Y24" s="7"/>
    </row>
    <row r="25" spans="1:25">
      <c r="A25" s="7" t="s">
        <v>854</v>
      </c>
      <c r="B25" s="8">
        <f t="shared" ref="B25:B31" si="14">C25*(1+$B$2)</f>
        <v>1.875</v>
      </c>
      <c r="C25" s="8">
        <f t="shared" ref="C25:C31" si="15">AVERAGE(D25:E25)</f>
        <v>1.25</v>
      </c>
      <c r="D25" s="13">
        <v>1.25</v>
      </c>
      <c r="F25" s="22">
        <v>15</v>
      </c>
      <c r="G25" s="36">
        <f t="shared" si="2"/>
        <v>15</v>
      </c>
      <c r="H25" s="22">
        <f t="shared" si="3"/>
        <v>0</v>
      </c>
      <c r="J25" s="9">
        <v>0</v>
      </c>
      <c r="K25" s="14">
        <f t="shared" si="4"/>
        <v>0</v>
      </c>
      <c r="L25" s="14">
        <f t="shared" si="5"/>
        <v>0</v>
      </c>
      <c r="M25" s="10">
        <v>1</v>
      </c>
      <c r="N25" s="15">
        <f t="shared" si="6"/>
        <v>1.25</v>
      </c>
      <c r="O25" s="15">
        <f t="shared" si="7"/>
        <v>1.875</v>
      </c>
      <c r="Q25" s="16">
        <f t="shared" si="8"/>
        <v>0</v>
      </c>
      <c r="R25" s="16">
        <f t="shared" si="9"/>
        <v>0</v>
      </c>
      <c r="T25" s="17">
        <f t="shared" si="10"/>
        <v>0</v>
      </c>
      <c r="U25" s="17">
        <f t="shared" si="11"/>
        <v>0</v>
      </c>
      <c r="V25" s="39"/>
      <c r="W25" s="38"/>
      <c r="X25" s="38"/>
      <c r="Y25" s="7"/>
    </row>
    <row r="26" spans="1:25">
      <c r="A26" s="7" t="s">
        <v>796</v>
      </c>
      <c r="B26" s="8">
        <f t="shared" si="14"/>
        <v>1.875</v>
      </c>
      <c r="C26" s="8">
        <f t="shared" si="15"/>
        <v>1.25</v>
      </c>
      <c r="D26" s="13">
        <v>1.25</v>
      </c>
      <c r="F26" s="22">
        <v>20</v>
      </c>
      <c r="G26" s="36">
        <f t="shared" si="2"/>
        <v>15</v>
      </c>
      <c r="H26" s="22">
        <f t="shared" si="3"/>
        <v>5</v>
      </c>
      <c r="J26" s="9">
        <v>0</v>
      </c>
      <c r="K26" s="14">
        <f t="shared" si="4"/>
        <v>0</v>
      </c>
      <c r="L26" s="14">
        <f t="shared" si="5"/>
        <v>0</v>
      </c>
      <c r="M26" s="10">
        <v>1</v>
      </c>
      <c r="N26" s="15">
        <f t="shared" si="6"/>
        <v>1.25</v>
      </c>
      <c r="O26" s="15">
        <f t="shared" si="7"/>
        <v>1.875</v>
      </c>
      <c r="Q26" s="16">
        <f t="shared" si="8"/>
        <v>0</v>
      </c>
      <c r="R26" s="16">
        <f t="shared" si="9"/>
        <v>0</v>
      </c>
      <c r="T26" s="17">
        <f t="shared" si="10"/>
        <v>0</v>
      </c>
      <c r="U26" s="17">
        <f t="shared" si="11"/>
        <v>0</v>
      </c>
      <c r="V26" s="39"/>
      <c r="W26" s="38"/>
      <c r="X26" s="38"/>
      <c r="Y26" s="7"/>
    </row>
    <row r="27" spans="1:25" hidden="1">
      <c r="A27" s="7" t="s">
        <v>790</v>
      </c>
      <c r="B27" s="8">
        <f t="shared" si="14"/>
        <v>1.875</v>
      </c>
      <c r="C27" s="8">
        <f t="shared" si="15"/>
        <v>1.25</v>
      </c>
      <c r="D27" s="8">
        <v>1.25</v>
      </c>
      <c r="G27" s="36">
        <f t="shared" si="2"/>
        <v>0</v>
      </c>
      <c r="H27" s="22">
        <f t="shared" si="3"/>
        <v>0</v>
      </c>
      <c r="K27" s="14">
        <f t="shared" si="4"/>
        <v>0</v>
      </c>
      <c r="L27" s="14">
        <f t="shared" si="5"/>
        <v>0</v>
      </c>
      <c r="N27" s="15">
        <f t="shared" si="6"/>
        <v>0</v>
      </c>
      <c r="O27" s="15">
        <f t="shared" si="7"/>
        <v>0</v>
      </c>
      <c r="Q27" s="16">
        <f t="shared" si="8"/>
        <v>0</v>
      </c>
      <c r="R27" s="16">
        <f t="shared" si="9"/>
        <v>0</v>
      </c>
      <c r="T27" s="17">
        <f t="shared" si="10"/>
        <v>0</v>
      </c>
      <c r="U27" s="17">
        <f t="shared" si="11"/>
        <v>0</v>
      </c>
      <c r="V27" s="39"/>
      <c r="W27" s="38"/>
      <c r="X27" s="38"/>
      <c r="Y27" s="7"/>
    </row>
    <row r="28" spans="1:25" hidden="1">
      <c r="A28" s="7" t="s">
        <v>789</v>
      </c>
      <c r="B28" s="8">
        <f t="shared" si="14"/>
        <v>1.6949999999999998</v>
      </c>
      <c r="C28" s="8">
        <f t="shared" si="15"/>
        <v>1.1299999999999999</v>
      </c>
      <c r="D28" s="8">
        <v>1.1299999999999999</v>
      </c>
      <c r="G28" s="36">
        <f t="shared" si="2"/>
        <v>0</v>
      </c>
      <c r="H28" s="22">
        <f t="shared" si="3"/>
        <v>0</v>
      </c>
      <c r="K28" s="14">
        <f t="shared" si="4"/>
        <v>0</v>
      </c>
      <c r="L28" s="14">
        <f t="shared" si="5"/>
        <v>0</v>
      </c>
      <c r="N28" s="15">
        <f t="shared" si="6"/>
        <v>0</v>
      </c>
      <c r="O28" s="15">
        <f t="shared" si="7"/>
        <v>0</v>
      </c>
      <c r="Q28" s="16">
        <f t="shared" si="8"/>
        <v>0</v>
      </c>
      <c r="R28" s="16">
        <f t="shared" si="9"/>
        <v>0</v>
      </c>
      <c r="T28" s="17">
        <f t="shared" si="10"/>
        <v>0</v>
      </c>
      <c r="U28" s="17">
        <f t="shared" si="11"/>
        <v>0</v>
      </c>
      <c r="V28" s="39"/>
      <c r="W28" s="38"/>
      <c r="X28" s="38"/>
      <c r="Y28" s="7"/>
    </row>
    <row r="29" spans="1:25" hidden="1">
      <c r="A29" s="7" t="s">
        <v>855</v>
      </c>
      <c r="B29" s="8">
        <f t="shared" si="14"/>
        <v>2.0999999999999996</v>
      </c>
      <c r="C29" s="8">
        <f t="shared" si="15"/>
        <v>1.4</v>
      </c>
      <c r="D29" s="8">
        <v>1.4</v>
      </c>
      <c r="H29" s="22">
        <f t="shared" si="3"/>
        <v>0</v>
      </c>
      <c r="K29" s="14">
        <f t="shared" si="4"/>
        <v>0</v>
      </c>
      <c r="L29" s="14">
        <f t="shared" si="5"/>
        <v>0</v>
      </c>
      <c r="N29" s="15">
        <f t="shared" si="6"/>
        <v>0</v>
      </c>
      <c r="O29" s="15">
        <f t="shared" si="7"/>
        <v>0</v>
      </c>
      <c r="Q29" s="16">
        <f t="shared" si="8"/>
        <v>0</v>
      </c>
      <c r="R29" s="16">
        <f t="shared" si="9"/>
        <v>0</v>
      </c>
      <c r="T29" s="17">
        <f t="shared" si="10"/>
        <v>0</v>
      </c>
      <c r="U29" s="17">
        <f t="shared" si="11"/>
        <v>0</v>
      </c>
      <c r="V29" s="39"/>
      <c r="W29" s="38"/>
      <c r="X29" s="38"/>
      <c r="Y29" s="7"/>
    </row>
    <row r="30" spans="1:25" hidden="1">
      <c r="A30" s="7" t="s">
        <v>781</v>
      </c>
      <c r="B30" s="8">
        <f t="shared" si="14"/>
        <v>1.5</v>
      </c>
      <c r="C30" s="8">
        <f t="shared" si="15"/>
        <v>1</v>
      </c>
      <c r="D30" s="8">
        <v>1.1000000000000001</v>
      </c>
      <c r="E30" s="8">
        <v>0.9</v>
      </c>
      <c r="G30" s="36">
        <f>(I30)+(J30*$J$2)+(M30*$M$2)+(P30*$P$2)+(S30*$S$2)+(V30*$V$2)+(Y30*$Y$2)+(Z30*$Z$2)+(AA30*$AA$2)+(AB30*$AB$2)+(AC30*$AC$2)</f>
        <v>0</v>
      </c>
      <c r="H30" s="22">
        <f t="shared" si="3"/>
        <v>0</v>
      </c>
      <c r="K30" s="14">
        <f t="shared" si="4"/>
        <v>0</v>
      </c>
      <c r="L30" s="14">
        <f t="shared" si="5"/>
        <v>0</v>
      </c>
      <c r="N30" s="15">
        <f t="shared" si="6"/>
        <v>0</v>
      </c>
      <c r="O30" s="15">
        <f t="shared" si="7"/>
        <v>0</v>
      </c>
      <c r="Q30" s="16">
        <f t="shared" si="8"/>
        <v>0</v>
      </c>
      <c r="R30" s="16">
        <f t="shared" si="9"/>
        <v>0</v>
      </c>
      <c r="T30" s="17">
        <f t="shared" si="10"/>
        <v>0</v>
      </c>
      <c r="U30" s="17">
        <f t="shared" si="11"/>
        <v>0</v>
      </c>
      <c r="V30" s="39"/>
      <c r="W30" s="38"/>
      <c r="X30" s="38"/>
      <c r="Y30" s="7"/>
    </row>
    <row r="31" spans="1:25" hidden="1">
      <c r="A31" s="7" t="s">
        <v>856</v>
      </c>
      <c r="B31" s="8">
        <f t="shared" si="14"/>
        <v>3.3675000000000002</v>
      </c>
      <c r="C31" s="8">
        <f t="shared" si="15"/>
        <v>2.2450000000000001</v>
      </c>
      <c r="D31" s="8">
        <v>1.3</v>
      </c>
      <c r="E31" s="8">
        <v>3.19</v>
      </c>
      <c r="G31" s="36">
        <f>(I31)+(J31*$J$2)+(M31*$M$2)+(P31*$P$2)+(S31*$S$2)+(V31*$V$2)+(Y31*$Y$2)+(Z31*$Z$2)+(AA31*$AA$2)+(AB31*$AB$2)+(AC31*$AC$2)</f>
        <v>0</v>
      </c>
      <c r="H31" s="22">
        <f t="shared" si="3"/>
        <v>0</v>
      </c>
      <c r="K31" s="14">
        <f t="shared" si="4"/>
        <v>0</v>
      </c>
      <c r="L31" s="14">
        <f t="shared" si="5"/>
        <v>0</v>
      </c>
      <c r="N31" s="15">
        <f t="shared" si="6"/>
        <v>0</v>
      </c>
      <c r="O31" s="15">
        <f t="shared" si="7"/>
        <v>0</v>
      </c>
      <c r="Q31" s="16">
        <f t="shared" si="8"/>
        <v>0</v>
      </c>
      <c r="R31" s="16">
        <f t="shared" si="9"/>
        <v>0</v>
      </c>
      <c r="T31" s="17">
        <f t="shared" si="10"/>
        <v>0</v>
      </c>
      <c r="U31" s="17">
        <f t="shared" si="11"/>
        <v>0</v>
      </c>
      <c r="V31" s="39"/>
      <c r="W31" s="38"/>
      <c r="X31" s="38"/>
      <c r="Y31" s="7"/>
    </row>
    <row r="32" spans="1:25">
      <c r="V32" s="39"/>
      <c r="W32" s="39"/>
      <c r="X32" s="39"/>
      <c r="Y32" s="7"/>
    </row>
    <row r="33" spans="1:30" s="19" customFormat="1">
      <c r="A33" s="19" t="s">
        <v>845</v>
      </c>
      <c r="B33" s="18"/>
      <c r="C33" s="18"/>
      <c r="D33" s="18"/>
      <c r="E33" s="18"/>
      <c r="F33" s="21"/>
      <c r="G33" s="35"/>
      <c r="H33" s="21"/>
      <c r="I33" s="21"/>
      <c r="J33" s="20"/>
      <c r="K33" s="23">
        <f>SUM(K3:K31)</f>
        <v>27.999999999999996</v>
      </c>
      <c r="L33" s="23">
        <f t="shared" ref="L33:U33" si="16">SUM(L3:L31)</f>
        <v>42</v>
      </c>
      <c r="M33" s="24"/>
      <c r="N33" s="24">
        <f t="shared" si="16"/>
        <v>35.575000000000003</v>
      </c>
      <c r="O33" s="24">
        <f t="shared" si="16"/>
        <v>53.362499999999997</v>
      </c>
      <c r="P33" s="25"/>
      <c r="Q33" s="25">
        <f t="shared" si="16"/>
        <v>6.0499999999999989</v>
      </c>
      <c r="R33" s="25">
        <f t="shared" si="16"/>
        <v>9.0749999999999993</v>
      </c>
      <c r="S33" s="26"/>
      <c r="T33" s="26">
        <f t="shared" si="16"/>
        <v>0</v>
      </c>
      <c r="U33" s="26">
        <f t="shared" si="16"/>
        <v>0</v>
      </c>
      <c r="V33" s="40"/>
      <c r="W33" s="40"/>
      <c r="X33" s="40"/>
      <c r="Y33" s="40"/>
      <c r="Z33" s="40"/>
      <c r="AA33" s="40"/>
      <c r="AB33" s="40"/>
      <c r="AC33" s="40"/>
    </row>
    <row r="34" spans="1:30">
      <c r="A34" s="7" t="s">
        <v>800</v>
      </c>
      <c r="K34" s="30">
        <f>(20*1.33)*5/60</f>
        <v>2.2166666666666668</v>
      </c>
      <c r="L34" s="30">
        <f>((20*1.33)*5/60)*1.5</f>
        <v>3.3250000000000002</v>
      </c>
      <c r="M34" s="31"/>
      <c r="N34" s="31">
        <f>(20*1.33)*7.5/60</f>
        <v>3.3250000000000002</v>
      </c>
      <c r="O34" s="31">
        <f>((20*1.33)*7/60)*1.5</f>
        <v>4.6550000000000002</v>
      </c>
      <c r="P34" s="32"/>
      <c r="Q34" s="32">
        <f>(20*1.33)*5/60</f>
        <v>2.2166666666666668</v>
      </c>
      <c r="R34" s="32">
        <f>(20*1.33)*7/60</f>
        <v>3.1033333333333335</v>
      </c>
      <c r="S34" s="33"/>
      <c r="T34" s="33">
        <f>(20*1.33)*5/60</f>
        <v>2.2166666666666668</v>
      </c>
      <c r="U34" s="33">
        <f>((20*1.33)*5/60)*1.5</f>
        <v>3.3250000000000002</v>
      </c>
      <c r="V34" s="41"/>
      <c r="W34" s="41"/>
      <c r="X34" s="41"/>
      <c r="Y34" s="41"/>
      <c r="Z34" s="41"/>
      <c r="AA34" s="41"/>
      <c r="AB34" s="41"/>
      <c r="AC34" s="41"/>
    </row>
    <row r="35" spans="1:30" s="49" customFormat="1" ht="19">
      <c r="A35" s="49" t="s">
        <v>802</v>
      </c>
      <c r="B35" s="45"/>
      <c r="C35" s="45"/>
      <c r="D35" s="45"/>
      <c r="E35" s="45"/>
      <c r="F35" s="46"/>
      <c r="G35" s="47"/>
      <c r="H35" s="46"/>
      <c r="I35" s="46"/>
      <c r="J35" s="52"/>
      <c r="K35" s="53">
        <f>SUM(K33:K34)</f>
        <v>30.216666666666661</v>
      </c>
      <c r="L35" s="53">
        <f t="shared" ref="L35:U35" si="17">SUM(L33:L34)</f>
        <v>45.325000000000003</v>
      </c>
      <c r="M35" s="54"/>
      <c r="N35" s="54">
        <f t="shared" si="17"/>
        <v>38.900000000000006</v>
      </c>
      <c r="O35" s="54">
        <f t="shared" si="17"/>
        <v>58.017499999999998</v>
      </c>
      <c r="P35" s="55"/>
      <c r="Q35" s="55">
        <f t="shared" si="17"/>
        <v>8.2666666666666657</v>
      </c>
      <c r="R35" s="55">
        <f t="shared" si="17"/>
        <v>12.178333333333333</v>
      </c>
      <c r="S35" s="56"/>
      <c r="T35" s="56">
        <f t="shared" si="17"/>
        <v>2.2166666666666668</v>
      </c>
      <c r="U35" s="56">
        <f t="shared" si="17"/>
        <v>3.3250000000000002</v>
      </c>
      <c r="V35" s="57"/>
      <c r="W35" s="57"/>
      <c r="X35" s="57"/>
      <c r="Y35" s="57"/>
      <c r="Z35" s="57"/>
      <c r="AA35" s="57"/>
      <c r="AB35" s="57"/>
      <c r="AC35" s="57"/>
      <c r="AD35" s="58"/>
    </row>
    <row r="36" spans="1:30">
      <c r="K36" s="27"/>
      <c r="L36" s="27"/>
      <c r="M36" s="28"/>
      <c r="N36" s="28"/>
      <c r="O36" s="28"/>
      <c r="P36" s="29"/>
      <c r="Q36" s="29"/>
      <c r="R36" s="29"/>
      <c r="S36" s="13"/>
      <c r="T36" s="13"/>
      <c r="U36" s="13"/>
      <c r="V36" s="42"/>
      <c r="W36" s="42"/>
      <c r="X36" s="42"/>
      <c r="Y36" s="7"/>
    </row>
    <row r="37" spans="1:30">
      <c r="A37" s="7" t="s">
        <v>803</v>
      </c>
      <c r="K37" s="27"/>
      <c r="L37" s="27"/>
      <c r="M37" s="28"/>
      <c r="N37" s="28"/>
      <c r="O37" s="28"/>
      <c r="P37" s="29"/>
      <c r="Q37" s="29"/>
      <c r="R37" s="29"/>
      <c r="S37" s="13"/>
      <c r="T37" s="13"/>
      <c r="U37" s="13"/>
      <c r="V37" s="42"/>
      <c r="W37" s="42"/>
      <c r="X37" s="42"/>
      <c r="Y37" s="7"/>
    </row>
    <row r="38" spans="1:30">
      <c r="A38" s="7" t="s">
        <v>804</v>
      </c>
      <c r="K38" s="27"/>
      <c r="L38" s="27"/>
      <c r="M38" s="28"/>
      <c r="N38" s="28"/>
      <c r="O38" s="28"/>
      <c r="P38" s="29"/>
      <c r="Q38" s="29"/>
      <c r="R38" s="29"/>
      <c r="S38" s="13"/>
      <c r="T38" s="13"/>
      <c r="U38" s="13"/>
      <c r="V38" s="42"/>
      <c r="W38" s="42"/>
      <c r="X38" s="42"/>
      <c r="Y38" s="7"/>
    </row>
    <row r="39" spans="1:30">
      <c r="V39" s="39"/>
      <c r="W39" s="39"/>
      <c r="X39" s="39"/>
      <c r="Y39" s="7"/>
    </row>
    <row r="40" spans="1:30">
      <c r="V40" s="39"/>
      <c r="W40" s="39"/>
      <c r="X40" s="39"/>
      <c r="Y40" s="7"/>
    </row>
    <row r="41" spans="1:30">
      <c r="V41" s="39"/>
      <c r="W41" s="39"/>
      <c r="X41" s="39"/>
      <c r="Y41" s="7"/>
    </row>
    <row r="42" spans="1:30">
      <c r="V42" s="39"/>
      <c r="W42" s="39"/>
      <c r="X42" s="39"/>
      <c r="Y42" s="7"/>
    </row>
  </sheetData>
  <mergeCells count="5">
    <mergeCell ref="V2:X2"/>
    <mergeCell ref="S2:U2"/>
    <mergeCell ref="J2:L2"/>
    <mergeCell ref="M2:O2"/>
    <mergeCell ref="P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5042-7586-422E-83ED-A1030D4E0EDF}">
  <sheetPr codeName="Sheet20"/>
  <dimension ref="A1:AD46"/>
  <sheetViews>
    <sheetView workbookViewId="0">
      <pane ySplit="1" topLeftCell="A2" activePane="bottomLeft" state="frozen"/>
      <selection pane="bottomLeft" activeCell="A3" sqref="A3:E7"/>
    </sheetView>
  </sheetViews>
  <sheetFormatPr baseColWidth="10" defaultColWidth="10.83203125" defaultRowHeight="16"/>
  <cols>
    <col min="1" max="1" width="20.83203125" style="7" customWidth="1"/>
    <col min="2" max="2" width="10.33203125" style="8" customWidth="1"/>
    <col min="3" max="5" width="10" style="8" customWidth="1"/>
    <col min="6" max="6" width="9" style="22"/>
    <col min="7" max="7" width="9" style="36"/>
    <col min="8" max="9" width="10.83203125" style="22" customWidth="1"/>
    <col min="10" max="12" width="10.83203125" style="9" customWidth="1"/>
    <col min="13" max="15" width="10.83203125" style="10" customWidth="1"/>
    <col min="16" max="18" width="10.83203125" style="11" customWidth="1"/>
    <col min="19" max="21" width="10.83203125" style="12" customWidth="1"/>
    <col min="22" max="24" width="10.83203125" style="43" customWidth="1"/>
    <col min="25" max="25" width="10.83203125" customWidth="1"/>
    <col min="26" max="29" width="10.83203125" style="7" customWidth="1"/>
    <col min="30" max="30" width="11" customWidth="1"/>
    <col min="31" max="16384" width="10.83203125" style="7"/>
  </cols>
  <sheetData>
    <row r="1" spans="1:29" s="1" customFormat="1" ht="75.75" customHeight="1">
      <c r="A1" s="1" t="s">
        <v>6</v>
      </c>
      <c r="B1" s="2" t="s">
        <v>743</v>
      </c>
      <c r="C1" s="2" t="s">
        <v>744</v>
      </c>
      <c r="D1" s="2" t="s">
        <v>745</v>
      </c>
      <c r="E1" s="2" t="s">
        <v>746</v>
      </c>
      <c r="F1" s="1" t="s">
        <v>806</v>
      </c>
      <c r="G1" s="34" t="s">
        <v>748</v>
      </c>
      <c r="H1" s="1" t="s">
        <v>807</v>
      </c>
      <c r="I1" s="1" t="s">
        <v>808</v>
      </c>
      <c r="J1" s="3" t="s">
        <v>809</v>
      </c>
      <c r="K1" s="3" t="s">
        <v>810</v>
      </c>
      <c r="L1" s="3" t="s">
        <v>811</v>
      </c>
      <c r="M1" s="4" t="s">
        <v>812</v>
      </c>
      <c r="N1" s="4" t="s">
        <v>813</v>
      </c>
      <c r="O1" s="4" t="s">
        <v>814</v>
      </c>
      <c r="P1" s="5" t="s">
        <v>755</v>
      </c>
      <c r="Q1" s="5" t="s">
        <v>753</v>
      </c>
      <c r="R1" s="5" t="s">
        <v>815</v>
      </c>
      <c r="S1" s="6" t="s">
        <v>846</v>
      </c>
      <c r="T1" s="6" t="s">
        <v>847</v>
      </c>
      <c r="U1" s="6" t="s">
        <v>848</v>
      </c>
      <c r="V1" s="37" t="s">
        <v>857</v>
      </c>
      <c r="W1" s="37" t="s">
        <v>858</v>
      </c>
      <c r="X1" s="37" t="s">
        <v>859</v>
      </c>
      <c r="Y1" s="1" t="s">
        <v>822</v>
      </c>
      <c r="Z1" s="1" t="s">
        <v>823</v>
      </c>
      <c r="AA1" s="1" t="s">
        <v>824</v>
      </c>
      <c r="AB1" s="1" t="s">
        <v>825</v>
      </c>
      <c r="AC1" s="1" t="s">
        <v>826</v>
      </c>
    </row>
    <row r="2" spans="1:29" s="49" customFormat="1" ht="19">
      <c r="A2" s="44" t="s">
        <v>827</v>
      </c>
      <c r="B2" s="51">
        <v>0.5</v>
      </c>
      <c r="C2" s="45"/>
      <c r="D2" s="45"/>
      <c r="E2" s="45"/>
      <c r="F2" s="46"/>
      <c r="G2" s="47"/>
      <c r="H2" s="46"/>
      <c r="I2" s="46"/>
      <c r="J2" s="307">
        <v>24</v>
      </c>
      <c r="K2" s="308"/>
      <c r="L2" s="309"/>
      <c r="M2" s="298">
        <v>15</v>
      </c>
      <c r="N2" s="299"/>
      <c r="O2" s="300"/>
      <c r="P2" s="301">
        <v>10</v>
      </c>
      <c r="Q2" s="302"/>
      <c r="R2" s="303"/>
      <c r="S2" s="304">
        <v>0</v>
      </c>
      <c r="T2" s="305"/>
      <c r="U2" s="306"/>
      <c r="V2" s="283">
        <v>1</v>
      </c>
      <c r="W2" s="284"/>
      <c r="X2" s="285"/>
      <c r="Y2" s="48">
        <v>0</v>
      </c>
      <c r="Z2" s="48">
        <v>0</v>
      </c>
      <c r="AA2" s="48">
        <v>0</v>
      </c>
      <c r="AB2" s="48">
        <v>0</v>
      </c>
      <c r="AC2" s="48">
        <v>0</v>
      </c>
    </row>
    <row r="3" spans="1:29">
      <c r="A3" s="7" t="s">
        <v>849</v>
      </c>
      <c r="B3" s="8">
        <f t="shared" ref="B3:B25" si="0">C3*(1+$B$2)</f>
        <v>5.9625000000000004</v>
      </c>
      <c r="C3" s="8">
        <f t="shared" ref="C3:C7" si="1">AVERAGE(D3:E3)</f>
        <v>3.9750000000000001</v>
      </c>
      <c r="D3" s="8">
        <v>4</v>
      </c>
      <c r="E3" s="8">
        <v>3.95</v>
      </c>
      <c r="F3" s="22">
        <v>27</v>
      </c>
      <c r="G3" s="36">
        <f t="shared" ref="G3:G29" si="2">(I3)+(J3*$J$2)+(M3*$M$2)+(P3*$P$2)+(S3*$S$2)+(V3*$V$2)+(Y3*$Y$2)+(Z3*$Z$2)+(AA3*$AA$2)+(AB3*$AB$2)+(AC3*$AC$2)</f>
        <v>16</v>
      </c>
      <c r="H3" s="22">
        <f t="shared" ref="H3:H32" si="3">SUM(F3,-G3)</f>
        <v>11</v>
      </c>
      <c r="J3" s="9">
        <v>0</v>
      </c>
      <c r="K3" s="14">
        <f t="shared" ref="K3:K32" si="4">J3*C3</f>
        <v>0</v>
      </c>
      <c r="L3" s="14">
        <f t="shared" ref="L3:L32" si="5">J3*B3</f>
        <v>0</v>
      </c>
      <c r="M3" s="10">
        <v>1</v>
      </c>
      <c r="N3" s="15">
        <f t="shared" ref="N3:N32" si="6">M3*C3</f>
        <v>3.9750000000000001</v>
      </c>
      <c r="O3" s="15">
        <f t="shared" ref="O3:O32" si="7">M3*B3</f>
        <v>5.9625000000000004</v>
      </c>
      <c r="Q3" s="16">
        <f t="shared" ref="Q3:Q32" si="8">P3*C3</f>
        <v>0</v>
      </c>
      <c r="R3" s="16">
        <f t="shared" ref="R3:R32" si="9">P3*B3</f>
        <v>0</v>
      </c>
      <c r="S3" s="12">
        <v>0</v>
      </c>
      <c r="T3" s="17">
        <f t="shared" ref="T3:T32" si="10">S3*C3</f>
        <v>0</v>
      </c>
      <c r="U3" s="17">
        <f t="shared" ref="U3:U32" si="11">S3*B3</f>
        <v>0</v>
      </c>
      <c r="V3" s="39">
        <v>1</v>
      </c>
      <c r="W3" s="38">
        <f>V3*C3</f>
        <v>3.9750000000000001</v>
      </c>
      <c r="X3" s="38">
        <f>V3*B3</f>
        <v>5.9625000000000004</v>
      </c>
      <c r="Y3" s="7">
        <v>3</v>
      </c>
      <c r="Z3" s="7">
        <v>1</v>
      </c>
      <c r="AA3" s="7">
        <v>1</v>
      </c>
      <c r="AB3" s="7">
        <v>1</v>
      </c>
      <c r="AC3" s="7">
        <v>1</v>
      </c>
    </row>
    <row r="4" spans="1:29">
      <c r="A4" s="7" t="s">
        <v>860</v>
      </c>
      <c r="B4" s="8">
        <f t="shared" si="0"/>
        <v>6.7124999999999995</v>
      </c>
      <c r="C4" s="8">
        <f t="shared" ref="C4" si="12">AVERAGE(D4:E4)</f>
        <v>4.4749999999999996</v>
      </c>
      <c r="D4" s="8">
        <v>4</v>
      </c>
      <c r="E4" s="8">
        <v>4.95</v>
      </c>
      <c r="F4" s="22">
        <v>27</v>
      </c>
      <c r="G4" s="36">
        <f t="shared" si="2"/>
        <v>56</v>
      </c>
      <c r="H4" s="22">
        <f t="shared" si="3"/>
        <v>-29</v>
      </c>
      <c r="J4" s="9">
        <v>1</v>
      </c>
      <c r="K4" s="14">
        <f t="shared" si="4"/>
        <v>4.4749999999999996</v>
      </c>
      <c r="L4" s="14">
        <f t="shared" si="5"/>
        <v>6.7124999999999995</v>
      </c>
      <c r="M4" s="10">
        <v>2</v>
      </c>
      <c r="N4" s="15">
        <f t="shared" si="6"/>
        <v>8.9499999999999993</v>
      </c>
      <c r="O4" s="15">
        <f t="shared" si="7"/>
        <v>13.424999999999999</v>
      </c>
      <c r="Q4" s="16">
        <f t="shared" si="8"/>
        <v>0</v>
      </c>
      <c r="R4" s="16">
        <f t="shared" si="9"/>
        <v>0</v>
      </c>
      <c r="S4" s="12">
        <v>1</v>
      </c>
      <c r="T4" s="17">
        <f t="shared" si="10"/>
        <v>4.4749999999999996</v>
      </c>
      <c r="U4" s="17">
        <f t="shared" si="11"/>
        <v>6.7124999999999995</v>
      </c>
      <c r="V4" s="39">
        <v>2</v>
      </c>
      <c r="W4" s="38">
        <f>V4*C4</f>
        <v>8.9499999999999993</v>
      </c>
      <c r="X4" s="38">
        <f>V4*B4</f>
        <v>13.424999999999999</v>
      </c>
      <c r="Y4" s="7">
        <v>3</v>
      </c>
      <c r="Z4" s="7">
        <v>1</v>
      </c>
      <c r="AA4" s="7">
        <v>1</v>
      </c>
      <c r="AB4" s="7">
        <v>1</v>
      </c>
      <c r="AC4" s="7">
        <v>1</v>
      </c>
    </row>
    <row r="5" spans="1:29">
      <c r="A5" s="7" t="s">
        <v>850</v>
      </c>
      <c r="B5" s="8">
        <f t="shared" si="0"/>
        <v>4.9499999999999993</v>
      </c>
      <c r="C5" s="8">
        <f t="shared" si="1"/>
        <v>3.3</v>
      </c>
      <c r="D5" s="8">
        <v>3</v>
      </c>
      <c r="E5" s="8">
        <v>3.6</v>
      </c>
      <c r="F5" s="22">
        <v>0</v>
      </c>
      <c r="G5" s="36">
        <f t="shared" si="2"/>
        <v>0</v>
      </c>
      <c r="H5" s="22">
        <f t="shared" si="3"/>
        <v>0</v>
      </c>
      <c r="J5" s="9">
        <v>0</v>
      </c>
      <c r="K5" s="14">
        <f t="shared" si="4"/>
        <v>0</v>
      </c>
      <c r="L5" s="14">
        <f t="shared" si="5"/>
        <v>0</v>
      </c>
      <c r="M5" s="10">
        <v>0</v>
      </c>
      <c r="N5" s="15">
        <f t="shared" si="6"/>
        <v>0</v>
      </c>
      <c r="O5" s="15">
        <f t="shared" si="7"/>
        <v>0</v>
      </c>
      <c r="Q5" s="16">
        <f t="shared" si="8"/>
        <v>0</v>
      </c>
      <c r="R5" s="16">
        <f t="shared" si="9"/>
        <v>0</v>
      </c>
      <c r="S5" s="12">
        <v>0</v>
      </c>
      <c r="T5" s="17">
        <f t="shared" si="10"/>
        <v>0</v>
      </c>
      <c r="U5" s="17">
        <f t="shared" si="11"/>
        <v>0</v>
      </c>
      <c r="V5" s="39">
        <v>0</v>
      </c>
      <c r="W5" s="38">
        <f t="shared" ref="W5:W32" si="13">V5*C5</f>
        <v>0</v>
      </c>
      <c r="X5" s="38">
        <f t="shared" ref="X5:X32" si="14">V5*B5</f>
        <v>0</v>
      </c>
      <c r="Y5" s="7">
        <v>3</v>
      </c>
      <c r="Z5" s="7">
        <v>3</v>
      </c>
      <c r="AA5" s="7">
        <v>2</v>
      </c>
      <c r="AB5" s="7">
        <v>1</v>
      </c>
      <c r="AC5" s="7">
        <v>1</v>
      </c>
    </row>
    <row r="6" spans="1:29">
      <c r="A6" s="7" t="s">
        <v>851</v>
      </c>
      <c r="B6" s="8">
        <f t="shared" si="0"/>
        <v>5.9625000000000004</v>
      </c>
      <c r="C6" s="8">
        <f t="shared" si="1"/>
        <v>3.9750000000000001</v>
      </c>
      <c r="D6" s="8">
        <v>4</v>
      </c>
      <c r="E6" s="8">
        <v>3.95</v>
      </c>
      <c r="F6" s="22">
        <v>0</v>
      </c>
      <c r="G6" s="36">
        <f t="shared" si="2"/>
        <v>0</v>
      </c>
      <c r="H6" s="22">
        <f t="shared" si="3"/>
        <v>0</v>
      </c>
      <c r="J6" s="9">
        <v>0</v>
      </c>
      <c r="K6" s="14">
        <f t="shared" si="4"/>
        <v>0</v>
      </c>
      <c r="L6" s="14">
        <f t="shared" si="5"/>
        <v>0</v>
      </c>
      <c r="M6" s="10">
        <v>0</v>
      </c>
      <c r="N6" s="15">
        <f t="shared" si="6"/>
        <v>0</v>
      </c>
      <c r="O6" s="15">
        <f t="shared" si="7"/>
        <v>0</v>
      </c>
      <c r="Q6" s="16">
        <f t="shared" si="8"/>
        <v>0</v>
      </c>
      <c r="R6" s="16">
        <f t="shared" si="9"/>
        <v>0</v>
      </c>
      <c r="S6" s="12">
        <v>0</v>
      </c>
      <c r="T6" s="17">
        <f t="shared" si="10"/>
        <v>0</v>
      </c>
      <c r="U6" s="17">
        <f t="shared" si="11"/>
        <v>0</v>
      </c>
      <c r="V6" s="39">
        <v>0</v>
      </c>
      <c r="W6" s="38">
        <f t="shared" si="13"/>
        <v>0</v>
      </c>
      <c r="X6" s="38">
        <f t="shared" si="14"/>
        <v>0</v>
      </c>
      <c r="Y6" s="7">
        <v>2</v>
      </c>
      <c r="Z6" s="7">
        <v>2</v>
      </c>
      <c r="AA6" s="7">
        <v>2</v>
      </c>
      <c r="AB6" s="7">
        <v>2</v>
      </c>
      <c r="AC6" s="7">
        <v>0</v>
      </c>
    </row>
    <row r="7" spans="1:29">
      <c r="A7" s="7" t="s">
        <v>852</v>
      </c>
      <c r="B7" s="8">
        <f t="shared" si="0"/>
        <v>4.9875000000000007</v>
      </c>
      <c r="C7" s="8">
        <f t="shared" si="1"/>
        <v>3.3250000000000002</v>
      </c>
      <c r="D7" s="8">
        <v>3</v>
      </c>
      <c r="E7" s="8">
        <v>3.65</v>
      </c>
      <c r="F7" s="22">
        <v>0</v>
      </c>
      <c r="G7" s="36">
        <f t="shared" si="2"/>
        <v>0</v>
      </c>
      <c r="H7" s="22">
        <f t="shared" si="3"/>
        <v>0</v>
      </c>
      <c r="J7" s="9">
        <v>0</v>
      </c>
      <c r="K7" s="14">
        <f t="shared" si="4"/>
        <v>0</v>
      </c>
      <c r="L7" s="14">
        <f t="shared" si="5"/>
        <v>0</v>
      </c>
      <c r="M7" s="10">
        <v>0</v>
      </c>
      <c r="N7" s="15">
        <f t="shared" si="6"/>
        <v>0</v>
      </c>
      <c r="O7" s="15">
        <f t="shared" si="7"/>
        <v>0</v>
      </c>
      <c r="Q7" s="16">
        <f t="shared" si="8"/>
        <v>0</v>
      </c>
      <c r="R7" s="16">
        <f t="shared" si="9"/>
        <v>0</v>
      </c>
      <c r="S7" s="12">
        <v>0</v>
      </c>
      <c r="T7" s="17">
        <f t="shared" si="10"/>
        <v>0</v>
      </c>
      <c r="U7" s="17">
        <f t="shared" si="11"/>
        <v>0</v>
      </c>
      <c r="V7" s="39">
        <v>0</v>
      </c>
      <c r="W7" s="38">
        <f t="shared" si="13"/>
        <v>0</v>
      </c>
      <c r="X7" s="38">
        <f t="shared" si="14"/>
        <v>0</v>
      </c>
      <c r="Y7" s="7">
        <v>3</v>
      </c>
      <c r="Z7" s="7">
        <v>3</v>
      </c>
      <c r="AA7" s="7">
        <v>2</v>
      </c>
      <c r="AB7" s="7">
        <v>3</v>
      </c>
      <c r="AC7" s="7">
        <v>0</v>
      </c>
    </row>
    <row r="8" spans="1:29">
      <c r="A8" s="7" t="s">
        <v>768</v>
      </c>
      <c r="B8" s="8">
        <f t="shared" si="0"/>
        <v>2.4749999999999996</v>
      </c>
      <c r="C8" s="8">
        <f t="shared" ref="C8:C18" si="15">AVERAGE(D8:E8)</f>
        <v>1.65</v>
      </c>
      <c r="D8" s="8">
        <v>1.5</v>
      </c>
      <c r="E8" s="8">
        <v>1.8</v>
      </c>
      <c r="F8" s="22">
        <v>500</v>
      </c>
      <c r="G8" s="36">
        <f t="shared" si="2"/>
        <v>350</v>
      </c>
      <c r="H8" s="22">
        <f t="shared" si="3"/>
        <v>150</v>
      </c>
      <c r="J8" s="9">
        <v>8</v>
      </c>
      <c r="K8" s="14">
        <f t="shared" si="4"/>
        <v>13.2</v>
      </c>
      <c r="L8" s="14">
        <f t="shared" si="5"/>
        <v>19.799999999999997</v>
      </c>
      <c r="M8" s="10">
        <v>8</v>
      </c>
      <c r="N8" s="15">
        <f t="shared" si="6"/>
        <v>13.2</v>
      </c>
      <c r="O8" s="15">
        <f t="shared" si="7"/>
        <v>19.799999999999997</v>
      </c>
      <c r="P8" s="11">
        <v>3</v>
      </c>
      <c r="Q8" s="16">
        <f t="shared" si="8"/>
        <v>4.9499999999999993</v>
      </c>
      <c r="R8" s="16">
        <f t="shared" si="9"/>
        <v>7.4249999999999989</v>
      </c>
      <c r="S8" s="12">
        <v>0</v>
      </c>
      <c r="T8" s="17">
        <f t="shared" si="10"/>
        <v>0</v>
      </c>
      <c r="U8" s="17">
        <f t="shared" si="11"/>
        <v>0</v>
      </c>
      <c r="V8" s="39">
        <v>8</v>
      </c>
      <c r="W8" s="38">
        <f t="shared" si="13"/>
        <v>13.2</v>
      </c>
      <c r="X8" s="38">
        <f t="shared" si="14"/>
        <v>19.799999999999997</v>
      </c>
      <c r="Y8" s="7">
        <v>9</v>
      </c>
      <c r="Z8" s="7">
        <v>7</v>
      </c>
      <c r="AA8" s="7">
        <v>6</v>
      </c>
      <c r="AB8" s="7">
        <v>5</v>
      </c>
      <c r="AC8" s="7">
        <v>4</v>
      </c>
    </row>
    <row r="9" spans="1:29">
      <c r="A9" s="7" t="s">
        <v>179</v>
      </c>
      <c r="B9" s="8">
        <f t="shared" si="0"/>
        <v>2.4000000000000004</v>
      </c>
      <c r="C9" s="8">
        <f t="shared" si="15"/>
        <v>1.6</v>
      </c>
      <c r="D9" s="8">
        <v>1.5</v>
      </c>
      <c r="E9" s="8">
        <v>1.7</v>
      </c>
      <c r="F9" s="22">
        <v>50</v>
      </c>
      <c r="G9" s="36">
        <f t="shared" si="2"/>
        <v>41</v>
      </c>
      <c r="H9" s="22">
        <f t="shared" si="3"/>
        <v>9</v>
      </c>
      <c r="J9" s="9">
        <v>1</v>
      </c>
      <c r="K9" s="14">
        <f t="shared" si="4"/>
        <v>1.6</v>
      </c>
      <c r="L9" s="14">
        <f t="shared" si="5"/>
        <v>2.4000000000000004</v>
      </c>
      <c r="M9" s="10">
        <v>1</v>
      </c>
      <c r="N9" s="15">
        <f t="shared" si="6"/>
        <v>1.6</v>
      </c>
      <c r="O9" s="15">
        <f t="shared" si="7"/>
        <v>2.4000000000000004</v>
      </c>
      <c r="Q9" s="16">
        <f t="shared" si="8"/>
        <v>0</v>
      </c>
      <c r="R9" s="16">
        <f t="shared" si="9"/>
        <v>0</v>
      </c>
      <c r="S9" s="12">
        <v>0</v>
      </c>
      <c r="T9" s="17">
        <f t="shared" si="10"/>
        <v>0</v>
      </c>
      <c r="U9" s="17">
        <f t="shared" si="11"/>
        <v>0</v>
      </c>
      <c r="V9" s="39">
        <v>2</v>
      </c>
      <c r="W9" s="38">
        <f t="shared" si="13"/>
        <v>3.2</v>
      </c>
      <c r="X9" s="38">
        <f t="shared" si="14"/>
        <v>4.8000000000000007</v>
      </c>
      <c r="Y9" s="7">
        <v>3</v>
      </c>
      <c r="Z9" s="7">
        <v>2</v>
      </c>
      <c r="AA9" s="7">
        <v>5</v>
      </c>
      <c r="AB9" s="7">
        <v>2</v>
      </c>
      <c r="AC9" s="7">
        <v>3</v>
      </c>
    </row>
    <row r="10" spans="1:29">
      <c r="A10" s="7" t="s">
        <v>832</v>
      </c>
      <c r="B10" s="8">
        <f t="shared" si="0"/>
        <v>2.625</v>
      </c>
      <c r="C10" s="8">
        <f t="shared" si="15"/>
        <v>1.75</v>
      </c>
      <c r="D10" s="8">
        <v>1.5</v>
      </c>
      <c r="E10" s="8">
        <v>2</v>
      </c>
      <c r="F10" s="22">
        <v>40</v>
      </c>
      <c r="G10" s="36">
        <f t="shared" si="2"/>
        <v>57</v>
      </c>
      <c r="H10" s="22">
        <f t="shared" si="3"/>
        <v>-17</v>
      </c>
      <c r="J10" s="9">
        <v>1</v>
      </c>
      <c r="K10" s="14">
        <f t="shared" si="4"/>
        <v>1.75</v>
      </c>
      <c r="L10" s="14">
        <f t="shared" si="5"/>
        <v>2.625</v>
      </c>
      <c r="M10" s="10">
        <v>2</v>
      </c>
      <c r="N10" s="15">
        <f t="shared" si="6"/>
        <v>3.5</v>
      </c>
      <c r="O10" s="15">
        <f t="shared" si="7"/>
        <v>5.25</v>
      </c>
      <c r="Q10" s="16">
        <f t="shared" si="8"/>
        <v>0</v>
      </c>
      <c r="R10" s="16">
        <f t="shared" si="9"/>
        <v>0</v>
      </c>
      <c r="S10" s="12">
        <v>0</v>
      </c>
      <c r="T10" s="17">
        <f t="shared" si="10"/>
        <v>0</v>
      </c>
      <c r="U10" s="17">
        <f t="shared" si="11"/>
        <v>0</v>
      </c>
      <c r="V10" s="39">
        <v>3</v>
      </c>
      <c r="W10" s="38">
        <f t="shared" si="13"/>
        <v>5.25</v>
      </c>
      <c r="X10" s="38">
        <f t="shared" si="14"/>
        <v>7.875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</row>
    <row r="11" spans="1:29">
      <c r="A11" s="7" t="s">
        <v>833</v>
      </c>
      <c r="B11" s="8">
        <f t="shared" si="0"/>
        <v>2.7750000000000004</v>
      </c>
      <c r="C11" s="8">
        <f t="shared" si="15"/>
        <v>1.85</v>
      </c>
      <c r="D11" s="8">
        <v>1.25</v>
      </c>
      <c r="E11" s="8">
        <v>2.4500000000000002</v>
      </c>
      <c r="F11" s="22">
        <v>5</v>
      </c>
      <c r="G11" s="36">
        <f t="shared" si="2"/>
        <v>0</v>
      </c>
      <c r="H11" s="22">
        <f t="shared" si="3"/>
        <v>5</v>
      </c>
      <c r="J11" s="9">
        <v>0</v>
      </c>
      <c r="K11" s="14">
        <f t="shared" si="4"/>
        <v>0</v>
      </c>
      <c r="L11" s="14">
        <f t="shared" si="5"/>
        <v>0</v>
      </c>
      <c r="M11" s="10">
        <v>0</v>
      </c>
      <c r="N11" s="15">
        <f t="shared" si="6"/>
        <v>0</v>
      </c>
      <c r="O11" s="15">
        <f t="shared" si="7"/>
        <v>0</v>
      </c>
      <c r="Q11" s="16">
        <f t="shared" si="8"/>
        <v>0</v>
      </c>
      <c r="R11" s="16">
        <f t="shared" si="9"/>
        <v>0</v>
      </c>
      <c r="S11" s="12">
        <v>0</v>
      </c>
      <c r="T11" s="17">
        <f t="shared" si="10"/>
        <v>0</v>
      </c>
      <c r="U11" s="17">
        <f t="shared" si="11"/>
        <v>0</v>
      </c>
      <c r="V11" s="39">
        <v>0</v>
      </c>
      <c r="W11" s="38">
        <f t="shared" si="13"/>
        <v>0</v>
      </c>
      <c r="X11" s="38">
        <f t="shared" si="14"/>
        <v>0</v>
      </c>
      <c r="Y11" s="7">
        <v>0</v>
      </c>
      <c r="Z11" s="7">
        <v>0</v>
      </c>
      <c r="AA11" s="7">
        <v>1</v>
      </c>
      <c r="AB11" s="7">
        <v>0</v>
      </c>
      <c r="AC11" s="7">
        <v>1</v>
      </c>
    </row>
    <row r="12" spans="1:29">
      <c r="A12" s="7" t="s">
        <v>778</v>
      </c>
      <c r="B12" s="8">
        <f t="shared" si="0"/>
        <v>3</v>
      </c>
      <c r="C12" s="8">
        <f t="shared" si="15"/>
        <v>2</v>
      </c>
      <c r="D12" s="8">
        <v>1</v>
      </c>
      <c r="E12" s="8">
        <v>3</v>
      </c>
      <c r="F12" s="22">
        <v>0</v>
      </c>
      <c r="G12" s="36">
        <f t="shared" si="2"/>
        <v>0</v>
      </c>
      <c r="H12" s="22">
        <f t="shared" si="3"/>
        <v>0</v>
      </c>
      <c r="J12" s="9">
        <v>0</v>
      </c>
      <c r="K12" s="14">
        <f t="shared" si="4"/>
        <v>0</v>
      </c>
      <c r="L12" s="14">
        <f t="shared" si="5"/>
        <v>0</v>
      </c>
      <c r="M12" s="10">
        <v>0</v>
      </c>
      <c r="N12" s="15">
        <f t="shared" si="6"/>
        <v>0</v>
      </c>
      <c r="O12" s="15">
        <f t="shared" si="7"/>
        <v>0</v>
      </c>
      <c r="Q12" s="16">
        <f t="shared" si="8"/>
        <v>0</v>
      </c>
      <c r="R12" s="16">
        <f t="shared" si="9"/>
        <v>0</v>
      </c>
      <c r="S12" s="12">
        <v>0</v>
      </c>
      <c r="T12" s="17">
        <f t="shared" si="10"/>
        <v>0</v>
      </c>
      <c r="U12" s="17">
        <f t="shared" si="11"/>
        <v>0</v>
      </c>
      <c r="V12" s="39">
        <v>0</v>
      </c>
      <c r="W12" s="38">
        <f t="shared" si="13"/>
        <v>0</v>
      </c>
      <c r="X12" s="38">
        <f t="shared" si="14"/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</row>
    <row r="13" spans="1:29">
      <c r="A13" s="7" t="s">
        <v>834</v>
      </c>
      <c r="B13" s="8">
        <f t="shared" si="0"/>
        <v>2.25</v>
      </c>
      <c r="C13" s="8">
        <f t="shared" si="15"/>
        <v>1.5</v>
      </c>
      <c r="D13" s="13">
        <v>1.5</v>
      </c>
      <c r="F13" s="22">
        <v>0</v>
      </c>
      <c r="G13" s="36">
        <f t="shared" si="2"/>
        <v>0</v>
      </c>
      <c r="H13" s="22">
        <f t="shared" si="3"/>
        <v>0</v>
      </c>
      <c r="J13" s="9">
        <v>0</v>
      </c>
      <c r="K13" s="14">
        <f t="shared" si="4"/>
        <v>0</v>
      </c>
      <c r="L13" s="14">
        <f t="shared" si="5"/>
        <v>0</v>
      </c>
      <c r="M13" s="10">
        <v>0</v>
      </c>
      <c r="N13" s="15">
        <f t="shared" si="6"/>
        <v>0</v>
      </c>
      <c r="O13" s="15">
        <f t="shared" si="7"/>
        <v>0</v>
      </c>
      <c r="Q13" s="16">
        <f t="shared" si="8"/>
        <v>0</v>
      </c>
      <c r="R13" s="16">
        <f t="shared" si="9"/>
        <v>0</v>
      </c>
      <c r="S13" s="12">
        <v>0</v>
      </c>
      <c r="T13" s="17">
        <f t="shared" si="10"/>
        <v>0</v>
      </c>
      <c r="U13" s="17">
        <f t="shared" si="11"/>
        <v>0</v>
      </c>
      <c r="V13" s="39">
        <v>0</v>
      </c>
      <c r="W13" s="38">
        <f t="shared" si="13"/>
        <v>0</v>
      </c>
      <c r="X13" s="38">
        <f t="shared" si="14"/>
        <v>0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</row>
    <row r="14" spans="1:29">
      <c r="A14" s="7" t="s">
        <v>180</v>
      </c>
      <c r="B14" s="8">
        <f t="shared" si="0"/>
        <v>1.7249999999999999</v>
      </c>
      <c r="C14" s="8">
        <f t="shared" si="15"/>
        <v>1.1499999999999999</v>
      </c>
      <c r="D14" s="8">
        <v>1.1499999999999999</v>
      </c>
      <c r="F14" s="22">
        <v>0</v>
      </c>
      <c r="G14" s="36">
        <f t="shared" si="2"/>
        <v>24</v>
      </c>
      <c r="H14" s="22">
        <f t="shared" si="3"/>
        <v>-24</v>
      </c>
      <c r="J14" s="9">
        <v>1</v>
      </c>
      <c r="K14" s="14">
        <f t="shared" si="4"/>
        <v>1.1499999999999999</v>
      </c>
      <c r="L14" s="14">
        <f t="shared" si="5"/>
        <v>1.7249999999999999</v>
      </c>
      <c r="M14" s="10">
        <v>0</v>
      </c>
      <c r="N14" s="15">
        <f t="shared" si="6"/>
        <v>0</v>
      </c>
      <c r="O14" s="15">
        <f t="shared" si="7"/>
        <v>0</v>
      </c>
      <c r="Q14" s="16">
        <f t="shared" si="8"/>
        <v>0</v>
      </c>
      <c r="R14" s="16">
        <f t="shared" si="9"/>
        <v>0</v>
      </c>
      <c r="S14" s="12">
        <v>0</v>
      </c>
      <c r="T14" s="17">
        <f t="shared" si="10"/>
        <v>0</v>
      </c>
      <c r="U14" s="17">
        <f t="shared" si="11"/>
        <v>0</v>
      </c>
      <c r="V14" s="39"/>
      <c r="W14" s="38">
        <f t="shared" si="13"/>
        <v>0</v>
      </c>
      <c r="X14" s="38">
        <f t="shared" si="14"/>
        <v>0</v>
      </c>
      <c r="Y14" s="7">
        <v>2</v>
      </c>
      <c r="Z14" s="7">
        <v>1</v>
      </c>
      <c r="AA14" s="7">
        <v>0</v>
      </c>
      <c r="AB14" s="7">
        <v>1</v>
      </c>
      <c r="AC14" s="7">
        <v>0</v>
      </c>
    </row>
    <row r="15" spans="1:29">
      <c r="A15" s="7" t="s">
        <v>835</v>
      </c>
      <c r="B15" s="8">
        <f t="shared" si="0"/>
        <v>4.5</v>
      </c>
      <c r="C15" s="8">
        <f t="shared" si="15"/>
        <v>3</v>
      </c>
      <c r="D15" s="8">
        <v>2</v>
      </c>
      <c r="E15" s="8">
        <v>4</v>
      </c>
      <c r="F15" s="22">
        <v>50</v>
      </c>
      <c r="G15" s="36">
        <f t="shared" si="2"/>
        <v>39</v>
      </c>
      <c r="H15" s="22">
        <f t="shared" si="3"/>
        <v>11</v>
      </c>
      <c r="J15" s="9">
        <v>1</v>
      </c>
      <c r="K15" s="14">
        <f t="shared" si="4"/>
        <v>3</v>
      </c>
      <c r="L15" s="14">
        <f t="shared" si="5"/>
        <v>4.5</v>
      </c>
      <c r="M15" s="10">
        <v>1</v>
      </c>
      <c r="N15" s="15">
        <f t="shared" si="6"/>
        <v>3</v>
      </c>
      <c r="O15" s="15">
        <f t="shared" si="7"/>
        <v>4.5</v>
      </c>
      <c r="Q15" s="16">
        <f t="shared" si="8"/>
        <v>0</v>
      </c>
      <c r="R15" s="16">
        <f t="shared" si="9"/>
        <v>0</v>
      </c>
      <c r="S15" s="12">
        <v>0</v>
      </c>
      <c r="T15" s="17">
        <f t="shared" si="10"/>
        <v>0</v>
      </c>
      <c r="U15" s="17">
        <f t="shared" si="11"/>
        <v>0</v>
      </c>
      <c r="V15" s="39">
        <v>0</v>
      </c>
      <c r="W15" s="38">
        <f t="shared" si="13"/>
        <v>0</v>
      </c>
      <c r="X15" s="38">
        <f t="shared" si="14"/>
        <v>0</v>
      </c>
      <c r="Y15" s="7">
        <v>1</v>
      </c>
      <c r="Z15" s="7">
        <v>1</v>
      </c>
      <c r="AA15" s="7">
        <v>1</v>
      </c>
      <c r="AB15" s="7">
        <v>1</v>
      </c>
      <c r="AC15" s="7">
        <v>0</v>
      </c>
    </row>
    <row r="16" spans="1:29">
      <c r="A16" s="7" t="s">
        <v>836</v>
      </c>
      <c r="B16" s="8">
        <f t="shared" si="0"/>
        <v>1.7249999999999999</v>
      </c>
      <c r="C16" s="8">
        <f t="shared" si="15"/>
        <v>1.1499999999999999</v>
      </c>
      <c r="D16" s="8">
        <v>1.25</v>
      </c>
      <c r="E16" s="8">
        <v>1.05</v>
      </c>
      <c r="F16" s="22">
        <v>0</v>
      </c>
      <c r="G16" s="36">
        <f t="shared" si="2"/>
        <v>0</v>
      </c>
      <c r="H16" s="22">
        <f t="shared" si="3"/>
        <v>0</v>
      </c>
      <c r="J16" s="9">
        <v>0</v>
      </c>
      <c r="K16" s="14">
        <f t="shared" si="4"/>
        <v>0</v>
      </c>
      <c r="L16" s="14">
        <f t="shared" si="5"/>
        <v>0</v>
      </c>
      <c r="N16" s="15">
        <f t="shared" si="6"/>
        <v>0</v>
      </c>
      <c r="O16" s="15">
        <f t="shared" si="7"/>
        <v>0</v>
      </c>
      <c r="Q16" s="16">
        <f t="shared" si="8"/>
        <v>0</v>
      </c>
      <c r="R16" s="16">
        <f t="shared" si="9"/>
        <v>0</v>
      </c>
      <c r="T16" s="17">
        <f t="shared" si="10"/>
        <v>0</v>
      </c>
      <c r="U16" s="17">
        <f t="shared" si="11"/>
        <v>0</v>
      </c>
      <c r="V16" s="39"/>
      <c r="W16" s="38">
        <f t="shared" si="13"/>
        <v>0</v>
      </c>
      <c r="X16" s="38">
        <f t="shared" si="14"/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</row>
    <row r="17" spans="1:29">
      <c r="A17" s="7" t="s">
        <v>772</v>
      </c>
      <c r="B17" s="8">
        <f t="shared" si="0"/>
        <v>2.5499999999999998</v>
      </c>
      <c r="C17" s="8">
        <f t="shared" si="15"/>
        <v>1.7</v>
      </c>
      <c r="E17" s="8">
        <v>1.7</v>
      </c>
      <c r="F17" s="22">
        <v>2</v>
      </c>
      <c r="G17" s="36">
        <f t="shared" si="2"/>
        <v>0</v>
      </c>
      <c r="H17" s="22">
        <f t="shared" si="3"/>
        <v>2</v>
      </c>
      <c r="J17" s="9">
        <v>0</v>
      </c>
      <c r="K17" s="14">
        <f t="shared" si="4"/>
        <v>0</v>
      </c>
      <c r="L17" s="14">
        <f t="shared" si="5"/>
        <v>0</v>
      </c>
      <c r="M17" s="10">
        <v>0</v>
      </c>
      <c r="N17" s="15">
        <f t="shared" si="6"/>
        <v>0</v>
      </c>
      <c r="O17" s="15">
        <f t="shared" si="7"/>
        <v>0</v>
      </c>
      <c r="Q17" s="16">
        <f t="shared" si="8"/>
        <v>0</v>
      </c>
      <c r="R17" s="16">
        <f t="shared" si="9"/>
        <v>0</v>
      </c>
      <c r="S17" s="12">
        <v>0</v>
      </c>
      <c r="T17" s="17">
        <f t="shared" si="10"/>
        <v>0</v>
      </c>
      <c r="U17" s="17">
        <f t="shared" si="11"/>
        <v>0</v>
      </c>
      <c r="V17" s="39">
        <v>0</v>
      </c>
      <c r="W17" s="38">
        <f t="shared" si="13"/>
        <v>0</v>
      </c>
      <c r="X17" s="38">
        <f t="shared" si="14"/>
        <v>0</v>
      </c>
      <c r="Y17" s="7">
        <v>0</v>
      </c>
      <c r="Z17" s="7">
        <v>0</v>
      </c>
      <c r="AA17" s="7">
        <v>0</v>
      </c>
      <c r="AB17" s="7">
        <v>0</v>
      </c>
      <c r="AC17" s="7">
        <v>1</v>
      </c>
    </row>
    <row r="18" spans="1:29">
      <c r="A18" s="7" t="s">
        <v>837</v>
      </c>
      <c r="B18" s="8">
        <f t="shared" si="0"/>
        <v>2.25</v>
      </c>
      <c r="C18" s="8">
        <f t="shared" si="15"/>
        <v>1.5</v>
      </c>
      <c r="D18" s="13">
        <v>1.5</v>
      </c>
      <c r="F18" s="22">
        <v>15</v>
      </c>
      <c r="G18" s="36">
        <f t="shared" si="2"/>
        <v>15</v>
      </c>
      <c r="H18" s="22">
        <f t="shared" si="3"/>
        <v>0</v>
      </c>
      <c r="J18" s="9">
        <v>0</v>
      </c>
      <c r="K18" s="14">
        <f t="shared" si="4"/>
        <v>0</v>
      </c>
      <c r="L18" s="14">
        <f t="shared" si="5"/>
        <v>0</v>
      </c>
      <c r="M18" s="10">
        <v>1</v>
      </c>
      <c r="N18" s="15">
        <f t="shared" si="6"/>
        <v>1.5</v>
      </c>
      <c r="O18" s="15">
        <f t="shared" si="7"/>
        <v>2.25</v>
      </c>
      <c r="Q18" s="16">
        <f t="shared" si="8"/>
        <v>0</v>
      </c>
      <c r="R18" s="16">
        <f t="shared" si="9"/>
        <v>0</v>
      </c>
      <c r="S18" s="12">
        <v>0</v>
      </c>
      <c r="T18" s="17">
        <f t="shared" si="10"/>
        <v>0</v>
      </c>
      <c r="U18" s="17">
        <f t="shared" si="11"/>
        <v>0</v>
      </c>
      <c r="V18" s="39">
        <v>0</v>
      </c>
      <c r="W18" s="38">
        <f t="shared" si="13"/>
        <v>0</v>
      </c>
      <c r="X18" s="38">
        <f t="shared" si="14"/>
        <v>0</v>
      </c>
      <c r="Y18" s="7">
        <v>2</v>
      </c>
      <c r="Z18" s="7">
        <v>2</v>
      </c>
      <c r="AA18" s="7">
        <v>2</v>
      </c>
      <c r="AB18" s="7">
        <v>2</v>
      </c>
      <c r="AC18" s="7">
        <v>1</v>
      </c>
    </row>
    <row r="19" spans="1:29">
      <c r="A19" s="7" t="s">
        <v>853</v>
      </c>
      <c r="B19" s="8">
        <f t="shared" si="0"/>
        <v>2.25</v>
      </c>
      <c r="C19" s="8">
        <f t="shared" ref="C19:C32" si="16">AVERAGE(D19:E19)</f>
        <v>1.5</v>
      </c>
      <c r="D19" s="8">
        <v>1.5</v>
      </c>
      <c r="F19" s="22">
        <v>40</v>
      </c>
      <c r="G19" s="36">
        <f t="shared" si="2"/>
        <v>25</v>
      </c>
      <c r="H19" s="22">
        <f t="shared" si="3"/>
        <v>15</v>
      </c>
      <c r="J19" s="9">
        <v>1</v>
      </c>
      <c r="K19" s="14">
        <f t="shared" si="4"/>
        <v>1.5</v>
      </c>
      <c r="L19" s="14">
        <f t="shared" si="5"/>
        <v>2.25</v>
      </c>
      <c r="M19" s="10">
        <v>0</v>
      </c>
      <c r="N19" s="15">
        <f t="shared" si="6"/>
        <v>0</v>
      </c>
      <c r="O19" s="15">
        <f t="shared" si="7"/>
        <v>0</v>
      </c>
      <c r="Q19" s="16">
        <f t="shared" si="8"/>
        <v>0</v>
      </c>
      <c r="R19" s="16">
        <f t="shared" si="9"/>
        <v>0</v>
      </c>
      <c r="S19" s="12">
        <v>0</v>
      </c>
      <c r="T19" s="17">
        <f t="shared" si="10"/>
        <v>0</v>
      </c>
      <c r="U19" s="17">
        <f t="shared" si="11"/>
        <v>0</v>
      </c>
      <c r="V19" s="39">
        <v>1</v>
      </c>
      <c r="W19" s="38">
        <f t="shared" si="13"/>
        <v>1.5</v>
      </c>
      <c r="X19" s="38">
        <f t="shared" si="14"/>
        <v>2.25</v>
      </c>
      <c r="Y19" s="7">
        <v>3</v>
      </c>
      <c r="Z19" s="7">
        <v>2</v>
      </c>
      <c r="AA19" s="7">
        <v>1</v>
      </c>
      <c r="AB19" s="7">
        <v>1</v>
      </c>
      <c r="AC19" s="7">
        <v>0</v>
      </c>
    </row>
    <row r="20" spans="1:29">
      <c r="A20" s="7" t="s">
        <v>840</v>
      </c>
      <c r="B20" s="8">
        <f t="shared" si="0"/>
        <v>2.25</v>
      </c>
      <c r="C20" s="8">
        <f t="shared" si="16"/>
        <v>1.5</v>
      </c>
      <c r="D20" s="13">
        <v>1.5</v>
      </c>
      <c r="F20" s="22">
        <v>30</v>
      </c>
      <c r="G20" s="36">
        <f t="shared" si="2"/>
        <v>0</v>
      </c>
      <c r="H20" s="22">
        <f t="shared" si="3"/>
        <v>30</v>
      </c>
      <c r="J20" s="9">
        <v>0</v>
      </c>
      <c r="K20" s="14">
        <f t="shared" si="4"/>
        <v>0</v>
      </c>
      <c r="L20" s="14">
        <f t="shared" si="5"/>
        <v>0</v>
      </c>
      <c r="M20" s="10">
        <v>0</v>
      </c>
      <c r="N20" s="15">
        <f t="shared" si="6"/>
        <v>0</v>
      </c>
      <c r="O20" s="15">
        <f t="shared" si="7"/>
        <v>0</v>
      </c>
      <c r="Q20" s="16">
        <f t="shared" si="8"/>
        <v>0</v>
      </c>
      <c r="R20" s="16">
        <f t="shared" si="9"/>
        <v>0</v>
      </c>
      <c r="S20" s="12">
        <v>0</v>
      </c>
      <c r="T20" s="17">
        <f t="shared" si="10"/>
        <v>0</v>
      </c>
      <c r="U20" s="17">
        <f t="shared" si="11"/>
        <v>0</v>
      </c>
      <c r="V20" s="39">
        <v>0</v>
      </c>
      <c r="W20" s="38">
        <f t="shared" si="13"/>
        <v>0</v>
      </c>
      <c r="X20" s="38">
        <f t="shared" si="14"/>
        <v>0</v>
      </c>
      <c r="Y20" s="7">
        <v>2</v>
      </c>
      <c r="Z20" s="7">
        <v>2</v>
      </c>
      <c r="AA20" s="7">
        <v>1</v>
      </c>
      <c r="AB20" s="7">
        <v>1</v>
      </c>
      <c r="AC20" s="7">
        <v>1</v>
      </c>
    </row>
    <row r="21" spans="1:29">
      <c r="A21" s="7" t="s">
        <v>779</v>
      </c>
      <c r="B21" s="8">
        <f t="shared" si="0"/>
        <v>1.7999999999999998</v>
      </c>
      <c r="C21" s="8">
        <f t="shared" si="16"/>
        <v>1.2</v>
      </c>
      <c r="D21" s="13">
        <v>1.2</v>
      </c>
      <c r="F21" s="22">
        <v>0</v>
      </c>
      <c r="G21" s="36">
        <f t="shared" si="2"/>
        <v>1</v>
      </c>
      <c r="H21" s="22">
        <f t="shared" si="3"/>
        <v>-1</v>
      </c>
      <c r="K21" s="14">
        <f t="shared" si="4"/>
        <v>0</v>
      </c>
      <c r="L21" s="14">
        <f t="shared" si="5"/>
        <v>0</v>
      </c>
      <c r="N21" s="15">
        <f t="shared" si="6"/>
        <v>0</v>
      </c>
      <c r="O21" s="15">
        <f t="shared" si="7"/>
        <v>0</v>
      </c>
      <c r="Q21" s="16">
        <f t="shared" si="8"/>
        <v>0</v>
      </c>
      <c r="R21" s="16">
        <f t="shared" si="9"/>
        <v>0</v>
      </c>
      <c r="S21" s="12">
        <v>0</v>
      </c>
      <c r="T21" s="17">
        <f t="shared" si="10"/>
        <v>0</v>
      </c>
      <c r="U21" s="17">
        <f t="shared" si="11"/>
        <v>0</v>
      </c>
      <c r="V21" s="39">
        <v>1</v>
      </c>
      <c r="W21" s="38">
        <f t="shared" si="13"/>
        <v>1.2</v>
      </c>
      <c r="X21" s="38">
        <f t="shared" si="14"/>
        <v>1.7999999999999998</v>
      </c>
      <c r="Y21" s="7">
        <v>1</v>
      </c>
      <c r="Z21" s="7">
        <v>1</v>
      </c>
      <c r="AA21" s="7">
        <v>1</v>
      </c>
      <c r="AB21" s="7">
        <v>1</v>
      </c>
      <c r="AC21" s="7">
        <v>0</v>
      </c>
    </row>
    <row r="22" spans="1:29">
      <c r="A22" s="7" t="s">
        <v>793</v>
      </c>
      <c r="B22" s="8">
        <f t="shared" si="0"/>
        <v>1.6500000000000001</v>
      </c>
      <c r="C22" s="8">
        <f t="shared" si="16"/>
        <v>1.1000000000000001</v>
      </c>
      <c r="D22" s="8">
        <v>1.1000000000000001</v>
      </c>
      <c r="F22" s="22">
        <v>40</v>
      </c>
      <c r="G22" s="36">
        <f t="shared" si="2"/>
        <v>34</v>
      </c>
      <c r="H22" s="22">
        <f t="shared" si="3"/>
        <v>6</v>
      </c>
      <c r="J22" s="9">
        <v>1</v>
      </c>
      <c r="K22" s="14">
        <f t="shared" si="4"/>
        <v>1.1000000000000001</v>
      </c>
      <c r="L22" s="14">
        <f t="shared" si="5"/>
        <v>1.6500000000000001</v>
      </c>
      <c r="M22" s="10">
        <v>0</v>
      </c>
      <c r="N22" s="15">
        <f t="shared" si="6"/>
        <v>0</v>
      </c>
      <c r="O22" s="15">
        <f t="shared" si="7"/>
        <v>0</v>
      </c>
      <c r="P22" s="11">
        <v>1</v>
      </c>
      <c r="Q22" s="16">
        <f t="shared" si="8"/>
        <v>1.1000000000000001</v>
      </c>
      <c r="R22" s="16">
        <f t="shared" si="9"/>
        <v>1.6500000000000001</v>
      </c>
      <c r="T22" s="17">
        <f t="shared" si="10"/>
        <v>0</v>
      </c>
      <c r="U22" s="17">
        <f t="shared" si="11"/>
        <v>0</v>
      </c>
      <c r="V22" s="39"/>
      <c r="W22" s="38">
        <f t="shared" si="13"/>
        <v>0</v>
      </c>
      <c r="X22" s="38">
        <f t="shared" si="14"/>
        <v>0</v>
      </c>
      <c r="Y22" s="7"/>
    </row>
    <row r="23" spans="1:29">
      <c r="A23" s="7" t="s">
        <v>842</v>
      </c>
      <c r="B23" s="8">
        <f t="shared" si="0"/>
        <v>2.4000000000000004</v>
      </c>
      <c r="C23" s="8">
        <f t="shared" si="16"/>
        <v>1.6</v>
      </c>
      <c r="D23" s="8">
        <v>1.6</v>
      </c>
      <c r="F23" s="22">
        <v>100</v>
      </c>
      <c r="G23" s="36">
        <f t="shared" si="2"/>
        <v>93</v>
      </c>
      <c r="H23" s="22">
        <f t="shared" si="3"/>
        <v>7</v>
      </c>
      <c r="J23" s="9">
        <v>2</v>
      </c>
      <c r="K23" s="14">
        <f t="shared" si="4"/>
        <v>3.2</v>
      </c>
      <c r="L23" s="14">
        <f t="shared" si="5"/>
        <v>4.8000000000000007</v>
      </c>
      <c r="M23" s="10">
        <v>3</v>
      </c>
      <c r="N23" s="15">
        <f t="shared" si="6"/>
        <v>4.8000000000000007</v>
      </c>
      <c r="O23" s="15">
        <f t="shared" si="7"/>
        <v>7.2000000000000011</v>
      </c>
      <c r="Q23" s="16">
        <f t="shared" si="8"/>
        <v>0</v>
      </c>
      <c r="R23" s="16">
        <f t="shared" si="9"/>
        <v>0</v>
      </c>
      <c r="S23" s="12">
        <v>0</v>
      </c>
      <c r="T23" s="17">
        <f t="shared" si="10"/>
        <v>0</v>
      </c>
      <c r="U23" s="17">
        <f t="shared" si="11"/>
        <v>0</v>
      </c>
      <c r="V23" s="39">
        <v>0</v>
      </c>
      <c r="W23" s="38">
        <f t="shared" si="13"/>
        <v>0</v>
      </c>
      <c r="X23" s="38">
        <f t="shared" si="14"/>
        <v>0</v>
      </c>
      <c r="Y23" s="7">
        <v>2</v>
      </c>
      <c r="Z23" s="7">
        <v>2</v>
      </c>
      <c r="AA23" s="7">
        <v>1</v>
      </c>
      <c r="AB23" s="7">
        <v>1</v>
      </c>
    </row>
    <row r="24" spans="1:29">
      <c r="A24" s="7" t="s">
        <v>843</v>
      </c>
      <c r="B24" s="8">
        <f t="shared" si="0"/>
        <v>3</v>
      </c>
      <c r="C24" s="8">
        <f t="shared" si="16"/>
        <v>2</v>
      </c>
      <c r="D24" s="13">
        <v>2</v>
      </c>
      <c r="F24" s="22">
        <v>40</v>
      </c>
      <c r="G24" s="36">
        <f t="shared" si="2"/>
        <v>41</v>
      </c>
      <c r="H24" s="22">
        <f t="shared" si="3"/>
        <v>-1</v>
      </c>
      <c r="J24" s="9">
        <v>1</v>
      </c>
      <c r="K24" s="14">
        <f t="shared" si="4"/>
        <v>2</v>
      </c>
      <c r="L24" s="14">
        <f t="shared" si="5"/>
        <v>3</v>
      </c>
      <c r="M24" s="10">
        <v>1</v>
      </c>
      <c r="N24" s="15">
        <f t="shared" si="6"/>
        <v>2</v>
      </c>
      <c r="O24" s="15">
        <f t="shared" si="7"/>
        <v>3</v>
      </c>
      <c r="Q24" s="16">
        <f t="shared" si="8"/>
        <v>0</v>
      </c>
      <c r="R24" s="16">
        <f t="shared" si="9"/>
        <v>0</v>
      </c>
      <c r="T24" s="17">
        <f t="shared" si="10"/>
        <v>0</v>
      </c>
      <c r="U24" s="17">
        <f t="shared" si="11"/>
        <v>0</v>
      </c>
      <c r="V24" s="39">
        <v>2</v>
      </c>
      <c r="W24" s="38">
        <f t="shared" si="13"/>
        <v>4</v>
      </c>
      <c r="X24" s="38">
        <f t="shared" si="14"/>
        <v>6</v>
      </c>
      <c r="Y24" s="7"/>
    </row>
    <row r="25" spans="1:29">
      <c r="A25" s="7" t="s">
        <v>794</v>
      </c>
      <c r="B25" s="8">
        <f t="shared" si="0"/>
        <v>1.875</v>
      </c>
      <c r="C25" s="8">
        <f t="shared" si="16"/>
        <v>1.25</v>
      </c>
      <c r="D25" s="8">
        <v>1.25</v>
      </c>
      <c r="F25" s="22">
        <v>0</v>
      </c>
      <c r="G25" s="36">
        <f t="shared" si="2"/>
        <v>0</v>
      </c>
      <c r="H25" s="22">
        <f t="shared" si="3"/>
        <v>0</v>
      </c>
      <c r="K25" s="14">
        <f t="shared" si="4"/>
        <v>0</v>
      </c>
      <c r="L25" s="14">
        <f t="shared" si="5"/>
        <v>0</v>
      </c>
      <c r="N25" s="15">
        <f t="shared" si="6"/>
        <v>0</v>
      </c>
      <c r="O25" s="15">
        <f t="shared" si="7"/>
        <v>0</v>
      </c>
      <c r="Q25" s="16">
        <f t="shared" si="8"/>
        <v>0</v>
      </c>
      <c r="R25" s="16">
        <f t="shared" si="9"/>
        <v>0</v>
      </c>
      <c r="T25" s="17">
        <f t="shared" si="10"/>
        <v>0</v>
      </c>
      <c r="U25" s="17">
        <f t="shared" si="11"/>
        <v>0</v>
      </c>
      <c r="V25" s="39"/>
      <c r="W25" s="38">
        <f t="shared" si="13"/>
        <v>0</v>
      </c>
      <c r="X25" s="38">
        <f t="shared" si="14"/>
        <v>0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</row>
    <row r="26" spans="1:29">
      <c r="A26" s="7" t="s">
        <v>854</v>
      </c>
      <c r="B26" s="8">
        <f t="shared" ref="B26:B32" si="17">C26*(1+$B$2)</f>
        <v>1.875</v>
      </c>
      <c r="C26" s="8">
        <f t="shared" si="16"/>
        <v>1.25</v>
      </c>
      <c r="D26" s="13">
        <v>1.25</v>
      </c>
      <c r="F26" s="22">
        <v>15</v>
      </c>
      <c r="G26" s="36">
        <f t="shared" si="2"/>
        <v>15</v>
      </c>
      <c r="H26" s="22">
        <f t="shared" si="3"/>
        <v>0</v>
      </c>
      <c r="J26" s="9">
        <v>0</v>
      </c>
      <c r="K26" s="14">
        <f t="shared" si="4"/>
        <v>0</v>
      </c>
      <c r="L26" s="14">
        <f t="shared" si="5"/>
        <v>0</v>
      </c>
      <c r="M26" s="10">
        <v>1</v>
      </c>
      <c r="N26" s="15">
        <f t="shared" si="6"/>
        <v>1.25</v>
      </c>
      <c r="O26" s="15">
        <f t="shared" si="7"/>
        <v>1.875</v>
      </c>
      <c r="Q26" s="16">
        <f t="shared" si="8"/>
        <v>0</v>
      </c>
      <c r="R26" s="16">
        <f t="shared" si="9"/>
        <v>0</v>
      </c>
      <c r="T26" s="17">
        <f t="shared" si="10"/>
        <v>0</v>
      </c>
      <c r="U26" s="17">
        <f t="shared" si="11"/>
        <v>0</v>
      </c>
      <c r="V26" s="39"/>
      <c r="W26" s="38">
        <f t="shared" si="13"/>
        <v>0</v>
      </c>
      <c r="X26" s="38">
        <f t="shared" si="14"/>
        <v>0</v>
      </c>
      <c r="Y26" s="7"/>
    </row>
    <row r="27" spans="1:29">
      <c r="A27" s="7" t="s">
        <v>796</v>
      </c>
      <c r="B27" s="8">
        <f t="shared" si="17"/>
        <v>1.875</v>
      </c>
      <c r="C27" s="8">
        <f t="shared" si="16"/>
        <v>1.25</v>
      </c>
      <c r="D27" s="13">
        <v>1.25</v>
      </c>
      <c r="F27" s="22">
        <v>20</v>
      </c>
      <c r="G27" s="36">
        <f t="shared" si="2"/>
        <v>16</v>
      </c>
      <c r="H27" s="22">
        <f t="shared" si="3"/>
        <v>4</v>
      </c>
      <c r="J27" s="9">
        <v>0</v>
      </c>
      <c r="K27" s="14">
        <f t="shared" si="4"/>
        <v>0</v>
      </c>
      <c r="L27" s="14">
        <f t="shared" si="5"/>
        <v>0</v>
      </c>
      <c r="M27" s="10">
        <v>1</v>
      </c>
      <c r="N27" s="15">
        <f t="shared" si="6"/>
        <v>1.25</v>
      </c>
      <c r="O27" s="15">
        <f t="shared" si="7"/>
        <v>1.875</v>
      </c>
      <c r="Q27" s="16">
        <f t="shared" si="8"/>
        <v>0</v>
      </c>
      <c r="R27" s="16">
        <f t="shared" si="9"/>
        <v>0</v>
      </c>
      <c r="T27" s="17">
        <f t="shared" si="10"/>
        <v>0</v>
      </c>
      <c r="U27" s="17">
        <f t="shared" si="11"/>
        <v>0</v>
      </c>
      <c r="V27" s="39">
        <v>1</v>
      </c>
      <c r="W27" s="38">
        <f t="shared" si="13"/>
        <v>1.25</v>
      </c>
      <c r="X27" s="38">
        <f t="shared" si="14"/>
        <v>1.875</v>
      </c>
      <c r="Y27" s="7"/>
    </row>
    <row r="28" spans="1:29">
      <c r="A28" s="7" t="s">
        <v>790</v>
      </c>
      <c r="B28" s="8">
        <f t="shared" si="17"/>
        <v>1.875</v>
      </c>
      <c r="C28" s="8">
        <f t="shared" si="16"/>
        <v>1.25</v>
      </c>
      <c r="D28" s="8">
        <v>1.25</v>
      </c>
      <c r="G28" s="36">
        <f t="shared" si="2"/>
        <v>0</v>
      </c>
      <c r="H28" s="22">
        <f t="shared" si="3"/>
        <v>0</v>
      </c>
      <c r="K28" s="14">
        <f t="shared" si="4"/>
        <v>0</v>
      </c>
      <c r="L28" s="14">
        <f t="shared" si="5"/>
        <v>0</v>
      </c>
      <c r="N28" s="15">
        <f t="shared" si="6"/>
        <v>0</v>
      </c>
      <c r="O28" s="15">
        <f t="shared" si="7"/>
        <v>0</v>
      </c>
      <c r="Q28" s="16">
        <f t="shared" si="8"/>
        <v>0</v>
      </c>
      <c r="R28" s="16">
        <f t="shared" si="9"/>
        <v>0</v>
      </c>
      <c r="T28" s="17">
        <f t="shared" si="10"/>
        <v>0</v>
      </c>
      <c r="U28" s="17">
        <f t="shared" si="11"/>
        <v>0</v>
      </c>
      <c r="V28" s="39"/>
      <c r="W28" s="38">
        <f t="shared" si="13"/>
        <v>0</v>
      </c>
      <c r="X28" s="38">
        <f t="shared" si="14"/>
        <v>0</v>
      </c>
      <c r="Y28" s="7"/>
    </row>
    <row r="29" spans="1:29">
      <c r="A29" s="7" t="s">
        <v>789</v>
      </c>
      <c r="B29" s="8">
        <f t="shared" si="17"/>
        <v>1.6949999999999998</v>
      </c>
      <c r="C29" s="8">
        <f t="shared" si="16"/>
        <v>1.1299999999999999</v>
      </c>
      <c r="D29" s="8">
        <v>1.1299999999999999</v>
      </c>
      <c r="G29" s="36">
        <f t="shared" si="2"/>
        <v>0</v>
      </c>
      <c r="H29" s="22">
        <f t="shared" si="3"/>
        <v>0</v>
      </c>
      <c r="K29" s="14">
        <f t="shared" si="4"/>
        <v>0</v>
      </c>
      <c r="L29" s="14">
        <f t="shared" si="5"/>
        <v>0</v>
      </c>
      <c r="N29" s="15">
        <f t="shared" si="6"/>
        <v>0</v>
      </c>
      <c r="O29" s="15">
        <f t="shared" si="7"/>
        <v>0</v>
      </c>
      <c r="Q29" s="16">
        <f t="shared" si="8"/>
        <v>0</v>
      </c>
      <c r="R29" s="16">
        <f t="shared" si="9"/>
        <v>0</v>
      </c>
      <c r="T29" s="17">
        <f t="shared" si="10"/>
        <v>0</v>
      </c>
      <c r="U29" s="17">
        <f t="shared" si="11"/>
        <v>0</v>
      </c>
      <c r="V29" s="39"/>
      <c r="W29" s="38">
        <f t="shared" si="13"/>
        <v>0</v>
      </c>
      <c r="X29" s="38">
        <f t="shared" si="14"/>
        <v>0</v>
      </c>
      <c r="Y29" s="7"/>
    </row>
    <row r="30" spans="1:29">
      <c r="A30" s="7" t="s">
        <v>855</v>
      </c>
      <c r="B30" s="8">
        <f t="shared" si="17"/>
        <v>2.3250000000000002</v>
      </c>
      <c r="C30" s="8">
        <f t="shared" si="16"/>
        <v>1.55</v>
      </c>
      <c r="D30" s="8">
        <v>1.55</v>
      </c>
      <c r="H30" s="22">
        <f t="shared" si="3"/>
        <v>0</v>
      </c>
      <c r="K30" s="14">
        <f t="shared" si="4"/>
        <v>0</v>
      </c>
      <c r="L30" s="14">
        <f t="shared" si="5"/>
        <v>0</v>
      </c>
      <c r="N30" s="15">
        <f t="shared" si="6"/>
        <v>0</v>
      </c>
      <c r="O30" s="15">
        <f t="shared" si="7"/>
        <v>0</v>
      </c>
      <c r="Q30" s="16">
        <f t="shared" si="8"/>
        <v>0</v>
      </c>
      <c r="R30" s="16">
        <f t="shared" si="9"/>
        <v>0</v>
      </c>
      <c r="T30" s="17">
        <f t="shared" si="10"/>
        <v>0</v>
      </c>
      <c r="U30" s="17">
        <f t="shared" si="11"/>
        <v>0</v>
      </c>
      <c r="V30" s="39"/>
      <c r="W30" s="38">
        <f t="shared" si="13"/>
        <v>0</v>
      </c>
      <c r="X30" s="38">
        <f t="shared" si="14"/>
        <v>0</v>
      </c>
      <c r="Y30" s="7"/>
    </row>
    <row r="31" spans="1:29">
      <c r="A31" s="7" t="s">
        <v>781</v>
      </c>
      <c r="B31" s="8">
        <f t="shared" si="17"/>
        <v>1.5</v>
      </c>
      <c r="C31" s="8">
        <f t="shared" si="16"/>
        <v>1</v>
      </c>
      <c r="D31" s="8">
        <v>1.1000000000000001</v>
      </c>
      <c r="E31" s="8">
        <v>0.9</v>
      </c>
      <c r="G31" s="36">
        <f>(I31)+(J31*$J$2)+(M31*$M$2)+(P31*$P$2)+(S31*$S$2)+(V31*$V$2)+(Y31*$Y$2)+(Z31*$Z$2)+(AA31*$AA$2)+(AB31*$AB$2)+(AC31*$AC$2)</f>
        <v>0</v>
      </c>
      <c r="H31" s="22">
        <f t="shared" si="3"/>
        <v>0</v>
      </c>
      <c r="K31" s="14">
        <f t="shared" si="4"/>
        <v>0</v>
      </c>
      <c r="L31" s="14">
        <f t="shared" si="5"/>
        <v>0</v>
      </c>
      <c r="N31" s="15">
        <f t="shared" si="6"/>
        <v>0</v>
      </c>
      <c r="O31" s="15">
        <f t="shared" si="7"/>
        <v>0</v>
      </c>
      <c r="Q31" s="16">
        <f t="shared" si="8"/>
        <v>0</v>
      </c>
      <c r="R31" s="16">
        <f t="shared" si="9"/>
        <v>0</v>
      </c>
      <c r="T31" s="17">
        <f t="shared" si="10"/>
        <v>0</v>
      </c>
      <c r="U31" s="17">
        <f t="shared" si="11"/>
        <v>0</v>
      </c>
      <c r="V31" s="39"/>
      <c r="W31" s="38">
        <f t="shared" si="13"/>
        <v>0</v>
      </c>
      <c r="X31" s="38">
        <f t="shared" si="14"/>
        <v>0</v>
      </c>
      <c r="Y31" s="7">
        <v>24</v>
      </c>
      <c r="Z31" s="7">
        <v>20</v>
      </c>
      <c r="AA31" s="7">
        <v>5</v>
      </c>
      <c r="AB31" s="7">
        <v>16</v>
      </c>
      <c r="AC31" s="7">
        <v>10</v>
      </c>
    </row>
    <row r="32" spans="1:29">
      <c r="A32" s="7" t="s">
        <v>856</v>
      </c>
      <c r="B32" s="8">
        <f t="shared" si="17"/>
        <v>3.3675000000000002</v>
      </c>
      <c r="C32" s="8">
        <f t="shared" si="16"/>
        <v>2.2450000000000001</v>
      </c>
      <c r="D32" s="8">
        <v>1.3</v>
      </c>
      <c r="E32" s="8">
        <v>3.19</v>
      </c>
      <c r="G32" s="36">
        <f>(I32)+(J32*$J$2)+(M32*$M$2)+(P32*$P$2)+(S32*$S$2)+(V32*$V$2)+(Y32*$Y$2)+(Z32*$Z$2)+(AA32*$AA$2)+(AB32*$AB$2)+(AC32*$AC$2)</f>
        <v>0</v>
      </c>
      <c r="H32" s="22">
        <f t="shared" si="3"/>
        <v>0</v>
      </c>
      <c r="K32" s="14">
        <f t="shared" si="4"/>
        <v>0</v>
      </c>
      <c r="L32" s="14">
        <f t="shared" si="5"/>
        <v>0</v>
      </c>
      <c r="N32" s="15">
        <f t="shared" si="6"/>
        <v>0</v>
      </c>
      <c r="O32" s="15">
        <f t="shared" si="7"/>
        <v>0</v>
      </c>
      <c r="Q32" s="16">
        <f t="shared" si="8"/>
        <v>0</v>
      </c>
      <c r="R32" s="16">
        <f t="shared" si="9"/>
        <v>0</v>
      </c>
      <c r="T32" s="17">
        <f t="shared" si="10"/>
        <v>0</v>
      </c>
      <c r="U32" s="17">
        <f t="shared" si="11"/>
        <v>0</v>
      </c>
      <c r="V32" s="39"/>
      <c r="W32" s="38">
        <f t="shared" si="13"/>
        <v>0</v>
      </c>
      <c r="X32" s="38">
        <f t="shared" si="14"/>
        <v>0</v>
      </c>
      <c r="Y32" s="7"/>
    </row>
    <row r="33" spans="1:30">
      <c r="A33" s="7" t="s">
        <v>790</v>
      </c>
      <c r="D33" s="8">
        <v>1.1000000000000001</v>
      </c>
      <c r="K33" s="14"/>
      <c r="L33" s="14"/>
      <c r="N33" s="15"/>
      <c r="O33" s="15"/>
      <c r="Q33" s="16"/>
      <c r="R33" s="16"/>
      <c r="T33" s="17"/>
      <c r="U33" s="17"/>
      <c r="V33" s="39"/>
      <c r="W33" s="38"/>
      <c r="X33" s="38"/>
      <c r="Y33" s="7"/>
    </row>
    <row r="34" spans="1:30">
      <c r="A34" s="7" t="s">
        <v>786</v>
      </c>
      <c r="D34" s="8">
        <v>1.23</v>
      </c>
      <c r="K34" s="14"/>
      <c r="L34" s="14"/>
      <c r="N34" s="15"/>
      <c r="O34" s="15"/>
      <c r="Q34" s="16"/>
      <c r="R34" s="16"/>
      <c r="T34" s="17"/>
      <c r="U34" s="17"/>
      <c r="V34" s="39"/>
      <c r="W34" s="38"/>
      <c r="X34" s="38"/>
      <c r="Y34" s="7"/>
    </row>
    <row r="35" spans="1:30">
      <c r="A35" s="7" t="s">
        <v>787</v>
      </c>
      <c r="D35" s="8">
        <v>0.9</v>
      </c>
      <c r="K35" s="14"/>
      <c r="L35" s="14"/>
      <c r="N35" s="15"/>
      <c r="O35" s="15"/>
      <c r="Q35" s="16"/>
      <c r="R35" s="16"/>
      <c r="T35" s="17"/>
      <c r="U35" s="17"/>
      <c r="V35" s="39"/>
      <c r="W35" s="38"/>
      <c r="X35" s="38"/>
      <c r="Y35" s="7"/>
    </row>
    <row r="36" spans="1:30">
      <c r="V36" s="39"/>
      <c r="W36" s="39"/>
      <c r="X36" s="39"/>
      <c r="Y36" s="7"/>
    </row>
    <row r="37" spans="1:30" s="19" customFormat="1">
      <c r="A37" s="19" t="s">
        <v>845</v>
      </c>
      <c r="B37" s="18"/>
      <c r="C37" s="18"/>
      <c r="D37" s="18"/>
      <c r="E37" s="18"/>
      <c r="F37" s="21"/>
      <c r="G37" s="35"/>
      <c r="H37" s="21"/>
      <c r="I37" s="21"/>
      <c r="J37" s="20"/>
      <c r="K37" s="23">
        <f>SUM(K3:K32)</f>
        <v>32.974999999999994</v>
      </c>
      <c r="L37" s="23">
        <f t="shared" ref="L37:U37" si="18">SUM(L3:L32)</f>
        <v>49.462499999999991</v>
      </c>
      <c r="M37" s="24"/>
      <c r="N37" s="24">
        <f t="shared" si="18"/>
        <v>45.025000000000006</v>
      </c>
      <c r="O37" s="24">
        <f t="shared" si="18"/>
        <v>67.537499999999994</v>
      </c>
      <c r="P37" s="25"/>
      <c r="Q37" s="25">
        <f t="shared" si="18"/>
        <v>6.0499999999999989</v>
      </c>
      <c r="R37" s="25">
        <f t="shared" si="18"/>
        <v>9.0749999999999993</v>
      </c>
      <c r="S37" s="26"/>
      <c r="T37" s="26">
        <f t="shared" si="18"/>
        <v>4.4749999999999996</v>
      </c>
      <c r="U37" s="26">
        <f t="shared" si="18"/>
        <v>6.7124999999999995</v>
      </c>
      <c r="V37" s="40"/>
      <c r="W37" s="40">
        <f t="shared" ref="W37:X37" si="19">SUM(W3:W32)</f>
        <v>42.525000000000006</v>
      </c>
      <c r="X37" s="40">
        <f t="shared" si="19"/>
        <v>63.787499999999994</v>
      </c>
      <c r="Y37" s="40"/>
      <c r="Z37" s="40"/>
      <c r="AA37" s="40"/>
      <c r="AB37" s="40"/>
      <c r="AC37" s="40"/>
    </row>
    <row r="38" spans="1:30">
      <c r="A38" s="7" t="s">
        <v>800</v>
      </c>
      <c r="K38" s="30">
        <f>(20*1.33)*5/60</f>
        <v>2.2166666666666668</v>
      </c>
      <c r="L38" s="30">
        <f>((20*1.33)*5/60)*1.5</f>
        <v>3.3250000000000002</v>
      </c>
      <c r="M38" s="31"/>
      <c r="N38" s="31">
        <f>(20*1.33)*7.5/60</f>
        <v>3.3250000000000002</v>
      </c>
      <c r="O38" s="31">
        <f>((20*1.33)*7/60)*1.5</f>
        <v>4.6550000000000002</v>
      </c>
      <c r="P38" s="32"/>
      <c r="Q38" s="32">
        <f>(20*1.33)*5/60</f>
        <v>2.2166666666666668</v>
      </c>
      <c r="R38" s="32">
        <f>(20*1.33)*7/60</f>
        <v>3.1033333333333335</v>
      </c>
      <c r="S38" s="33"/>
      <c r="T38" s="33">
        <f>(20*1.33)*5/60</f>
        <v>2.2166666666666668</v>
      </c>
      <c r="U38" s="33">
        <f>((20*1.33)*5/60)*1.5</f>
        <v>3.3250000000000002</v>
      </c>
      <c r="V38" s="41"/>
      <c r="W38" s="41">
        <f>(20*1.33)*15/60</f>
        <v>6.65</v>
      </c>
      <c r="X38" s="41">
        <f>((20*1.33)*15/60)*1.5</f>
        <v>9.9750000000000014</v>
      </c>
      <c r="Y38" s="41"/>
      <c r="Z38" s="41"/>
      <c r="AA38" s="41"/>
      <c r="AB38" s="41"/>
      <c r="AC38" s="41"/>
    </row>
    <row r="39" spans="1:30" s="49" customFormat="1" ht="19">
      <c r="A39" s="49" t="s">
        <v>802</v>
      </c>
      <c r="B39" s="45"/>
      <c r="C39" s="45"/>
      <c r="D39" s="45"/>
      <c r="E39" s="45"/>
      <c r="F39" s="46"/>
      <c r="G39" s="47"/>
      <c r="H39" s="46"/>
      <c r="I39" s="46"/>
      <c r="J39" s="52"/>
      <c r="K39" s="53">
        <f>SUM(K37:K38)</f>
        <v>35.191666666666663</v>
      </c>
      <c r="L39" s="53">
        <f t="shared" ref="L39:U39" si="20">SUM(L37:L38)</f>
        <v>52.787499999999994</v>
      </c>
      <c r="M39" s="54"/>
      <c r="N39" s="54">
        <f t="shared" si="20"/>
        <v>48.350000000000009</v>
      </c>
      <c r="O39" s="54">
        <f t="shared" si="20"/>
        <v>72.192499999999995</v>
      </c>
      <c r="P39" s="55"/>
      <c r="Q39" s="55">
        <f t="shared" si="20"/>
        <v>8.2666666666666657</v>
      </c>
      <c r="R39" s="55">
        <f t="shared" si="20"/>
        <v>12.178333333333333</v>
      </c>
      <c r="S39" s="56"/>
      <c r="T39" s="56">
        <f t="shared" si="20"/>
        <v>6.6916666666666664</v>
      </c>
      <c r="U39" s="56">
        <f t="shared" si="20"/>
        <v>10.0375</v>
      </c>
      <c r="V39" s="57"/>
      <c r="W39" s="57">
        <f t="shared" ref="W39:X39" si="21">SUM(W37:W38)</f>
        <v>49.175000000000004</v>
      </c>
      <c r="X39" s="57">
        <f t="shared" si="21"/>
        <v>73.762499999999989</v>
      </c>
      <c r="Y39" s="57"/>
      <c r="Z39" s="57"/>
      <c r="AA39" s="57"/>
      <c r="AB39" s="57"/>
      <c r="AC39" s="57"/>
      <c r="AD39" s="58"/>
    </row>
    <row r="40" spans="1:30">
      <c r="K40" s="27"/>
      <c r="L40" s="27"/>
      <c r="M40" s="28"/>
      <c r="N40" s="28"/>
      <c r="O40" s="28"/>
      <c r="P40" s="29"/>
      <c r="Q40" s="29"/>
      <c r="R40" s="29"/>
      <c r="S40" s="13"/>
      <c r="T40" s="13"/>
      <c r="U40" s="13"/>
      <c r="V40" s="42"/>
      <c r="W40" s="42"/>
      <c r="X40" s="42"/>
      <c r="Y40" s="7"/>
    </row>
    <row r="41" spans="1:30">
      <c r="A41" s="7" t="s">
        <v>803</v>
      </c>
      <c r="K41" s="27"/>
      <c r="L41" s="27"/>
      <c r="M41" s="28"/>
      <c r="N41" s="28"/>
      <c r="O41" s="28"/>
      <c r="P41" s="29"/>
      <c r="Q41" s="29"/>
      <c r="R41" s="29"/>
      <c r="S41" s="13"/>
      <c r="T41" s="13"/>
      <c r="U41" s="13"/>
      <c r="V41" s="42"/>
      <c r="W41" s="42"/>
      <c r="X41" s="42"/>
      <c r="Y41" s="7"/>
    </row>
    <row r="42" spans="1:30">
      <c r="A42" s="7" t="s">
        <v>804</v>
      </c>
      <c r="K42" s="27"/>
      <c r="L42" s="27"/>
      <c r="M42" s="28"/>
      <c r="N42" s="28"/>
      <c r="O42" s="28"/>
      <c r="P42" s="29"/>
      <c r="Q42" s="29"/>
      <c r="R42" s="29"/>
      <c r="S42" s="13"/>
      <c r="T42" s="13"/>
      <c r="U42" s="13"/>
      <c r="V42" s="42"/>
      <c r="W42" s="42"/>
      <c r="X42" s="42"/>
      <c r="Y42" s="7"/>
    </row>
    <row r="43" spans="1:30">
      <c r="V43" s="39"/>
      <c r="W43" s="39"/>
      <c r="X43" s="39"/>
      <c r="Y43" s="7"/>
    </row>
    <row r="44" spans="1:30">
      <c r="V44" s="39"/>
      <c r="W44" s="39"/>
      <c r="X44" s="39"/>
      <c r="Y44" s="7"/>
    </row>
    <row r="45" spans="1:30">
      <c r="V45" s="39"/>
      <c r="W45" s="39"/>
      <c r="X45" s="39"/>
      <c r="Y45" s="7"/>
    </row>
    <row r="46" spans="1:30">
      <c r="V46" s="39"/>
      <c r="W46" s="39"/>
      <c r="X46" s="39"/>
      <c r="Y46" s="7"/>
    </row>
  </sheetData>
  <mergeCells count="5">
    <mergeCell ref="J2:L2"/>
    <mergeCell ref="M2:O2"/>
    <mergeCell ref="P2:R2"/>
    <mergeCell ref="S2:U2"/>
    <mergeCell ref="V2:X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6DEC-A6CA-45AB-9060-3C73F34C1B5F}">
  <sheetPr codeName="Sheet21"/>
  <dimension ref="A1:AD40"/>
  <sheetViews>
    <sheetView workbookViewId="0">
      <pane xSplit="1" topLeftCell="B1" activePane="topRight" state="frozen"/>
      <selection pane="topRight" sqref="A1:XFD1048576"/>
    </sheetView>
  </sheetViews>
  <sheetFormatPr baseColWidth="10" defaultColWidth="10.83203125" defaultRowHeight="16"/>
  <cols>
    <col min="1" max="1" width="20.83203125" style="7" customWidth="1"/>
    <col min="2" max="2" width="10.33203125" style="8" customWidth="1"/>
    <col min="3" max="5" width="10" style="8" customWidth="1"/>
    <col min="6" max="6" width="9" style="22"/>
    <col min="7" max="7" width="9" style="36"/>
    <col min="8" max="9" width="10.83203125" style="22" customWidth="1"/>
    <col min="10" max="12" width="10.83203125" style="9" customWidth="1"/>
    <col min="13" max="15" width="10.83203125" style="10" customWidth="1"/>
    <col min="16" max="18" width="10.83203125" style="11" customWidth="1"/>
    <col min="19" max="21" width="10.83203125" style="12" customWidth="1"/>
    <col min="22" max="24" width="10.83203125" style="43" customWidth="1"/>
    <col min="25" max="25" width="10.83203125" customWidth="1"/>
    <col min="26" max="29" width="10.83203125" style="7" customWidth="1"/>
    <col min="30" max="30" width="11" customWidth="1"/>
    <col min="31" max="16384" width="10.83203125" style="7"/>
  </cols>
  <sheetData>
    <row r="1" spans="1:29" s="1" customFormat="1" ht="75.75" customHeight="1">
      <c r="A1" s="1" t="s">
        <v>6</v>
      </c>
      <c r="B1" s="2" t="s">
        <v>743</v>
      </c>
      <c r="C1" s="2" t="s">
        <v>744</v>
      </c>
      <c r="D1" s="2" t="s">
        <v>745</v>
      </c>
      <c r="E1" s="2" t="s">
        <v>746</v>
      </c>
      <c r="F1" s="1" t="s">
        <v>806</v>
      </c>
      <c r="G1" s="34" t="s">
        <v>748</v>
      </c>
      <c r="H1" s="1" t="s">
        <v>807</v>
      </c>
      <c r="I1" s="1" t="s">
        <v>808</v>
      </c>
      <c r="J1" s="3" t="s">
        <v>809</v>
      </c>
      <c r="K1" s="3" t="s">
        <v>810</v>
      </c>
      <c r="L1" s="3" t="s">
        <v>811</v>
      </c>
      <c r="M1" s="4" t="s">
        <v>812</v>
      </c>
      <c r="N1" s="4" t="s">
        <v>813</v>
      </c>
      <c r="O1" s="4" t="s">
        <v>814</v>
      </c>
      <c r="P1" s="5" t="s">
        <v>755</v>
      </c>
      <c r="Q1" s="5" t="s">
        <v>753</v>
      </c>
      <c r="R1" s="5" t="s">
        <v>815</v>
      </c>
      <c r="S1" s="6" t="s">
        <v>846</v>
      </c>
      <c r="T1" s="6" t="s">
        <v>847</v>
      </c>
      <c r="U1" s="6" t="s">
        <v>848</v>
      </c>
      <c r="V1" s="37" t="s">
        <v>857</v>
      </c>
      <c r="W1" s="37" t="s">
        <v>858</v>
      </c>
      <c r="X1" s="37" t="s">
        <v>859</v>
      </c>
      <c r="Y1" s="1" t="s">
        <v>822</v>
      </c>
      <c r="Z1" s="1" t="s">
        <v>823</v>
      </c>
      <c r="AA1" s="1" t="s">
        <v>824</v>
      </c>
      <c r="AB1" s="1" t="s">
        <v>825</v>
      </c>
      <c r="AC1" s="1" t="s">
        <v>826</v>
      </c>
    </row>
    <row r="2" spans="1:29" s="49" customFormat="1" ht="19">
      <c r="A2" s="44" t="s">
        <v>827</v>
      </c>
      <c r="B2" s="51">
        <v>0.5</v>
      </c>
      <c r="C2" s="45"/>
      <c r="D2" s="45"/>
      <c r="E2" s="45"/>
      <c r="F2" s="46"/>
      <c r="G2" s="47"/>
      <c r="H2" s="46"/>
      <c r="I2" s="46"/>
      <c r="J2" s="307">
        <v>18</v>
      </c>
      <c r="K2" s="308"/>
      <c r="L2" s="309"/>
      <c r="M2" s="298">
        <v>15</v>
      </c>
      <c r="N2" s="299"/>
      <c r="O2" s="300"/>
      <c r="P2" s="301">
        <v>10</v>
      </c>
      <c r="Q2" s="302"/>
      <c r="R2" s="303"/>
      <c r="S2" s="304">
        <v>0</v>
      </c>
      <c r="T2" s="305"/>
      <c r="U2" s="306"/>
      <c r="V2" s="283">
        <v>1</v>
      </c>
      <c r="W2" s="284"/>
      <c r="X2" s="285"/>
      <c r="Y2" s="48">
        <v>0</v>
      </c>
      <c r="Z2" s="48">
        <v>0</v>
      </c>
      <c r="AA2" s="48">
        <v>0</v>
      </c>
      <c r="AB2" s="48">
        <v>0</v>
      </c>
      <c r="AC2" s="48">
        <v>0</v>
      </c>
    </row>
    <row r="3" spans="1:29">
      <c r="A3" s="7" t="s">
        <v>849</v>
      </c>
      <c r="B3" s="8">
        <f t="shared" ref="B3:B15" si="0">C3*(1+$B$2)</f>
        <v>5.9625000000000004</v>
      </c>
      <c r="C3" s="8">
        <f t="shared" ref="C3:C7" si="1">AVERAGE(D3:E3)</f>
        <v>3.9750000000000001</v>
      </c>
      <c r="D3" s="8">
        <v>4</v>
      </c>
      <c r="E3" s="8">
        <v>3.95</v>
      </c>
      <c r="F3" s="22">
        <v>30</v>
      </c>
      <c r="G3" s="36">
        <f t="shared" ref="G3:G15" si="2">(I3)+(J3*$J$2)+(M3*$M$2)+(P3*$P$2)+(S3*$S$2)+(V3*$V$2)+(Y3*$Y$2)+(Z3*$Z$2)+(AA3*$AA$2)+(AB3*$AB$2)+(AC3*$AC$2)</f>
        <v>15</v>
      </c>
      <c r="H3" s="22">
        <f t="shared" ref="H3:H15" si="3">SUM(F3,-G3)</f>
        <v>15</v>
      </c>
      <c r="K3" s="14">
        <f t="shared" ref="K3:K15" si="4">J3*C3</f>
        <v>0</v>
      </c>
      <c r="L3" s="14">
        <f t="shared" ref="L3:L15" si="5">J3*B3</f>
        <v>0</v>
      </c>
      <c r="M3" s="10">
        <v>1</v>
      </c>
      <c r="N3" s="15">
        <f t="shared" ref="N3:N15" si="6">M3*C3</f>
        <v>3.9750000000000001</v>
      </c>
      <c r="O3" s="15">
        <f t="shared" ref="O3:O15" si="7">M3*B3</f>
        <v>5.9625000000000004</v>
      </c>
      <c r="Q3" s="16">
        <f t="shared" ref="Q3:Q15" si="8">P3*C3</f>
        <v>0</v>
      </c>
      <c r="R3" s="16">
        <f t="shared" ref="R3:R15" si="9">P3*B3</f>
        <v>0</v>
      </c>
      <c r="T3" s="17">
        <f t="shared" ref="T3:T15" si="10">S3*C3</f>
        <v>0</v>
      </c>
      <c r="U3" s="17">
        <f t="shared" ref="U3:U15" si="11">S3*B3</f>
        <v>0</v>
      </c>
      <c r="V3" s="39"/>
      <c r="W3" s="38">
        <f>V3*C3</f>
        <v>0</v>
      </c>
      <c r="X3" s="38">
        <f>V3*B3</f>
        <v>0</v>
      </c>
      <c r="Y3" s="7"/>
    </row>
    <row r="4" spans="1:29">
      <c r="A4" s="7" t="s">
        <v>860</v>
      </c>
      <c r="B4" s="8">
        <f t="shared" si="0"/>
        <v>6.7124999999999995</v>
      </c>
      <c r="C4" s="8">
        <f t="shared" si="1"/>
        <v>4.4749999999999996</v>
      </c>
      <c r="D4" s="8">
        <v>4</v>
      </c>
      <c r="E4" s="8">
        <v>4.95</v>
      </c>
      <c r="F4" s="22">
        <v>0</v>
      </c>
      <c r="G4" s="36">
        <f t="shared" si="2"/>
        <v>0</v>
      </c>
      <c r="H4" s="22">
        <f t="shared" si="3"/>
        <v>0</v>
      </c>
      <c r="K4" s="14">
        <f t="shared" si="4"/>
        <v>0</v>
      </c>
      <c r="L4" s="14">
        <f t="shared" si="5"/>
        <v>0</v>
      </c>
      <c r="N4" s="15">
        <f t="shared" si="6"/>
        <v>0</v>
      </c>
      <c r="O4" s="15">
        <f t="shared" si="7"/>
        <v>0</v>
      </c>
      <c r="Q4" s="16">
        <f t="shared" si="8"/>
        <v>0</v>
      </c>
      <c r="R4" s="16">
        <f t="shared" si="9"/>
        <v>0</v>
      </c>
      <c r="T4" s="17">
        <f t="shared" si="10"/>
        <v>0</v>
      </c>
      <c r="U4" s="17">
        <f t="shared" si="11"/>
        <v>0</v>
      </c>
      <c r="V4" s="39"/>
      <c r="W4" s="38">
        <f>V4*C4</f>
        <v>0</v>
      </c>
      <c r="X4" s="38">
        <f>V4*B4</f>
        <v>0</v>
      </c>
      <c r="Y4" s="7"/>
    </row>
    <row r="5" spans="1:29">
      <c r="A5" s="7" t="s">
        <v>850</v>
      </c>
      <c r="B5" s="8">
        <f t="shared" si="0"/>
        <v>4.9499999999999993</v>
      </c>
      <c r="C5" s="8">
        <f t="shared" si="1"/>
        <v>3.3</v>
      </c>
      <c r="D5" s="8">
        <v>3</v>
      </c>
      <c r="E5" s="8">
        <v>3.6</v>
      </c>
      <c r="F5" s="22">
        <v>30</v>
      </c>
      <c r="G5" s="36">
        <f t="shared" si="2"/>
        <v>33</v>
      </c>
      <c r="H5" s="22">
        <f t="shared" si="3"/>
        <v>-3</v>
      </c>
      <c r="J5" s="9">
        <v>1</v>
      </c>
      <c r="K5" s="14">
        <f t="shared" si="4"/>
        <v>3.3</v>
      </c>
      <c r="L5" s="14">
        <f t="shared" si="5"/>
        <v>4.9499999999999993</v>
      </c>
      <c r="M5" s="10">
        <v>1</v>
      </c>
      <c r="N5" s="15">
        <f t="shared" si="6"/>
        <v>3.3</v>
      </c>
      <c r="O5" s="15">
        <f t="shared" si="7"/>
        <v>4.9499999999999993</v>
      </c>
      <c r="Q5" s="16">
        <f t="shared" si="8"/>
        <v>0</v>
      </c>
      <c r="R5" s="16">
        <f t="shared" si="9"/>
        <v>0</v>
      </c>
      <c r="T5" s="17">
        <f t="shared" si="10"/>
        <v>0</v>
      </c>
      <c r="U5" s="17">
        <f t="shared" si="11"/>
        <v>0</v>
      </c>
      <c r="V5" s="39"/>
      <c r="W5" s="38">
        <f t="shared" ref="W5:W26" si="12">V5*C5</f>
        <v>0</v>
      </c>
      <c r="X5" s="38">
        <f t="shared" ref="X5:X26" si="13">V5*B5</f>
        <v>0</v>
      </c>
      <c r="Y5" s="7"/>
    </row>
    <row r="6" spans="1:29">
      <c r="A6" s="7" t="s">
        <v>851</v>
      </c>
      <c r="B6" s="8">
        <f t="shared" si="0"/>
        <v>5.9625000000000004</v>
      </c>
      <c r="C6" s="8">
        <f t="shared" si="1"/>
        <v>3.9750000000000001</v>
      </c>
      <c r="D6" s="8">
        <v>4</v>
      </c>
      <c r="E6" s="8">
        <v>3.95</v>
      </c>
      <c r="F6" s="22">
        <v>0</v>
      </c>
      <c r="G6" s="36">
        <f t="shared" si="2"/>
        <v>0</v>
      </c>
      <c r="H6" s="22">
        <f t="shared" si="3"/>
        <v>0</v>
      </c>
      <c r="K6" s="14">
        <f t="shared" si="4"/>
        <v>0</v>
      </c>
      <c r="L6" s="14">
        <f t="shared" si="5"/>
        <v>0</v>
      </c>
      <c r="N6" s="15">
        <f t="shared" si="6"/>
        <v>0</v>
      </c>
      <c r="O6" s="15">
        <f t="shared" si="7"/>
        <v>0</v>
      </c>
      <c r="Q6" s="16">
        <f t="shared" si="8"/>
        <v>0</v>
      </c>
      <c r="R6" s="16">
        <f t="shared" si="9"/>
        <v>0</v>
      </c>
      <c r="T6" s="17">
        <f t="shared" si="10"/>
        <v>0</v>
      </c>
      <c r="U6" s="17">
        <f t="shared" si="11"/>
        <v>0</v>
      </c>
      <c r="V6" s="39"/>
      <c r="W6" s="38">
        <f t="shared" si="12"/>
        <v>0</v>
      </c>
      <c r="X6" s="38">
        <f t="shared" si="13"/>
        <v>0</v>
      </c>
      <c r="Y6" s="7"/>
    </row>
    <row r="7" spans="1:29">
      <c r="A7" s="7" t="s">
        <v>852</v>
      </c>
      <c r="B7" s="8">
        <f t="shared" si="0"/>
        <v>4.9875000000000007</v>
      </c>
      <c r="C7" s="8">
        <f t="shared" si="1"/>
        <v>3.3250000000000002</v>
      </c>
      <c r="D7" s="8">
        <v>3</v>
      </c>
      <c r="E7" s="8">
        <v>3.65</v>
      </c>
      <c r="F7" s="22">
        <v>30</v>
      </c>
      <c r="G7" s="36">
        <f t="shared" si="2"/>
        <v>0</v>
      </c>
      <c r="H7" s="22">
        <f t="shared" si="3"/>
        <v>30</v>
      </c>
      <c r="K7" s="14">
        <f t="shared" si="4"/>
        <v>0</v>
      </c>
      <c r="L7" s="14">
        <f t="shared" si="5"/>
        <v>0</v>
      </c>
      <c r="N7" s="15">
        <f t="shared" si="6"/>
        <v>0</v>
      </c>
      <c r="O7" s="15">
        <f t="shared" si="7"/>
        <v>0</v>
      </c>
      <c r="Q7" s="16">
        <f t="shared" si="8"/>
        <v>0</v>
      </c>
      <c r="R7" s="16">
        <f t="shared" si="9"/>
        <v>0</v>
      </c>
      <c r="T7" s="17">
        <f t="shared" si="10"/>
        <v>0</v>
      </c>
      <c r="U7" s="17">
        <f t="shared" si="11"/>
        <v>0</v>
      </c>
      <c r="V7" s="39"/>
      <c r="W7" s="38">
        <f t="shared" si="12"/>
        <v>0</v>
      </c>
      <c r="X7" s="38">
        <f t="shared" si="13"/>
        <v>0</v>
      </c>
      <c r="Y7" s="7"/>
    </row>
    <row r="8" spans="1:29">
      <c r="A8" s="7" t="s">
        <v>861</v>
      </c>
      <c r="B8" s="8">
        <f t="shared" si="0"/>
        <v>2.3250000000000002</v>
      </c>
      <c r="C8" s="8">
        <f t="shared" ref="C8" si="14">AVERAGE(D8:E8)</f>
        <v>1.55</v>
      </c>
      <c r="D8" s="8">
        <v>1.6</v>
      </c>
      <c r="E8" s="8">
        <v>1.5</v>
      </c>
      <c r="F8" s="22">
        <v>30</v>
      </c>
      <c r="G8" s="36">
        <f t="shared" si="2"/>
        <v>33</v>
      </c>
      <c r="H8" s="22">
        <f t="shared" si="3"/>
        <v>-3</v>
      </c>
      <c r="J8" s="9">
        <v>1</v>
      </c>
      <c r="K8" s="14">
        <f t="shared" si="4"/>
        <v>1.55</v>
      </c>
      <c r="L8" s="14">
        <f t="shared" si="5"/>
        <v>2.3250000000000002</v>
      </c>
      <c r="M8" s="10">
        <v>1</v>
      </c>
      <c r="N8" s="15">
        <f t="shared" si="6"/>
        <v>1.55</v>
      </c>
      <c r="O8" s="15">
        <f t="shared" si="7"/>
        <v>2.3250000000000002</v>
      </c>
      <c r="Q8" s="16">
        <f t="shared" si="8"/>
        <v>0</v>
      </c>
      <c r="R8" s="16">
        <f t="shared" si="9"/>
        <v>0</v>
      </c>
      <c r="T8" s="17">
        <f t="shared" si="10"/>
        <v>0</v>
      </c>
      <c r="U8" s="17">
        <f t="shared" si="11"/>
        <v>0</v>
      </c>
      <c r="V8" s="39"/>
      <c r="W8" s="38">
        <f t="shared" ref="W8" si="15">V8*C8</f>
        <v>0</v>
      </c>
      <c r="X8" s="38">
        <f t="shared" ref="X8" si="16">V8*B8</f>
        <v>0</v>
      </c>
      <c r="Y8" s="7"/>
    </row>
    <row r="9" spans="1:29">
      <c r="A9" s="7" t="s">
        <v>768</v>
      </c>
      <c r="B9" s="8">
        <f t="shared" si="0"/>
        <v>2.4749999999999996</v>
      </c>
      <c r="C9" s="8">
        <f t="shared" ref="C9:C14" si="17">AVERAGE(D9:E9)</f>
        <v>1.65</v>
      </c>
      <c r="D9" s="8">
        <v>1.5</v>
      </c>
      <c r="E9" s="8">
        <v>1.8</v>
      </c>
      <c r="F9" s="22">
        <v>60</v>
      </c>
      <c r="G9" s="36">
        <f t="shared" si="2"/>
        <v>0</v>
      </c>
      <c r="H9" s="22">
        <f t="shared" si="3"/>
        <v>60</v>
      </c>
      <c r="K9" s="14">
        <f t="shared" si="4"/>
        <v>0</v>
      </c>
      <c r="L9" s="14">
        <f t="shared" si="5"/>
        <v>0</v>
      </c>
      <c r="M9" s="10">
        <v>0</v>
      </c>
      <c r="N9" s="15">
        <f t="shared" si="6"/>
        <v>0</v>
      </c>
      <c r="O9" s="15">
        <f t="shared" si="7"/>
        <v>0</v>
      </c>
      <c r="Q9" s="16">
        <f t="shared" si="8"/>
        <v>0</v>
      </c>
      <c r="R9" s="16">
        <f t="shared" si="9"/>
        <v>0</v>
      </c>
      <c r="T9" s="17">
        <f t="shared" si="10"/>
        <v>0</v>
      </c>
      <c r="U9" s="17">
        <f t="shared" si="11"/>
        <v>0</v>
      </c>
      <c r="V9" s="39"/>
      <c r="W9" s="38">
        <f t="shared" si="12"/>
        <v>0</v>
      </c>
      <c r="X9" s="38">
        <f t="shared" si="13"/>
        <v>0</v>
      </c>
      <c r="Y9" s="7"/>
    </row>
    <row r="10" spans="1:29">
      <c r="A10" s="7" t="s">
        <v>179</v>
      </c>
      <c r="B10" s="8">
        <f t="shared" si="0"/>
        <v>2.4000000000000004</v>
      </c>
      <c r="C10" s="8">
        <f t="shared" si="17"/>
        <v>1.6</v>
      </c>
      <c r="D10" s="8">
        <v>1.5</v>
      </c>
      <c r="E10" s="8">
        <v>1.7</v>
      </c>
      <c r="F10" s="22">
        <v>0</v>
      </c>
      <c r="G10" s="36">
        <f t="shared" si="2"/>
        <v>0</v>
      </c>
      <c r="H10" s="22">
        <f t="shared" si="3"/>
        <v>0</v>
      </c>
      <c r="K10" s="14">
        <f t="shared" si="4"/>
        <v>0</v>
      </c>
      <c r="L10" s="14">
        <f t="shared" si="5"/>
        <v>0</v>
      </c>
      <c r="N10" s="15">
        <f t="shared" si="6"/>
        <v>0</v>
      </c>
      <c r="O10" s="15">
        <f t="shared" si="7"/>
        <v>0</v>
      </c>
      <c r="Q10" s="16">
        <f t="shared" si="8"/>
        <v>0</v>
      </c>
      <c r="R10" s="16">
        <f t="shared" si="9"/>
        <v>0</v>
      </c>
      <c r="T10" s="17">
        <f t="shared" si="10"/>
        <v>0</v>
      </c>
      <c r="U10" s="17">
        <f t="shared" si="11"/>
        <v>0</v>
      </c>
      <c r="V10" s="39"/>
      <c r="W10" s="38">
        <f t="shared" si="12"/>
        <v>0</v>
      </c>
      <c r="X10" s="38">
        <f t="shared" si="13"/>
        <v>0</v>
      </c>
      <c r="Y10" s="7"/>
    </row>
    <row r="11" spans="1:29">
      <c r="A11" s="7" t="s">
        <v>832</v>
      </c>
      <c r="B11" s="8">
        <f t="shared" si="0"/>
        <v>2.625</v>
      </c>
      <c r="C11" s="8">
        <f t="shared" si="17"/>
        <v>1.75</v>
      </c>
      <c r="D11" s="8">
        <v>1.5</v>
      </c>
      <c r="E11" s="8">
        <v>2</v>
      </c>
      <c r="F11" s="22">
        <v>60</v>
      </c>
      <c r="G11" s="36">
        <f t="shared" si="2"/>
        <v>48</v>
      </c>
      <c r="H11" s="22">
        <f t="shared" si="3"/>
        <v>12</v>
      </c>
      <c r="J11" s="9">
        <v>1</v>
      </c>
      <c r="K11" s="14">
        <f t="shared" si="4"/>
        <v>1.75</v>
      </c>
      <c r="L11" s="14">
        <f t="shared" si="5"/>
        <v>2.625</v>
      </c>
      <c r="M11" s="10">
        <v>2</v>
      </c>
      <c r="N11" s="15">
        <f t="shared" si="6"/>
        <v>3.5</v>
      </c>
      <c r="O11" s="15">
        <f t="shared" si="7"/>
        <v>5.25</v>
      </c>
      <c r="Q11" s="16">
        <f t="shared" si="8"/>
        <v>0</v>
      </c>
      <c r="R11" s="16">
        <f t="shared" si="9"/>
        <v>0</v>
      </c>
      <c r="T11" s="17">
        <f t="shared" si="10"/>
        <v>0</v>
      </c>
      <c r="U11" s="17">
        <f t="shared" si="11"/>
        <v>0</v>
      </c>
      <c r="V11" s="39"/>
      <c r="W11" s="38">
        <f t="shared" si="12"/>
        <v>0</v>
      </c>
      <c r="X11" s="38">
        <f t="shared" si="13"/>
        <v>0</v>
      </c>
      <c r="Y11" s="7"/>
    </row>
    <row r="12" spans="1:29" hidden="1">
      <c r="A12" s="7" t="s">
        <v>778</v>
      </c>
      <c r="B12" s="8">
        <f t="shared" si="0"/>
        <v>3</v>
      </c>
      <c r="C12" s="8">
        <f t="shared" si="17"/>
        <v>2</v>
      </c>
      <c r="D12" s="8">
        <v>1</v>
      </c>
      <c r="E12" s="8">
        <v>3</v>
      </c>
      <c r="F12" s="22">
        <v>0</v>
      </c>
      <c r="G12" s="36">
        <f t="shared" si="2"/>
        <v>0</v>
      </c>
      <c r="H12" s="22">
        <f t="shared" si="3"/>
        <v>0</v>
      </c>
      <c r="K12" s="14">
        <f t="shared" si="4"/>
        <v>0</v>
      </c>
      <c r="L12" s="14">
        <f t="shared" si="5"/>
        <v>0</v>
      </c>
      <c r="N12" s="15">
        <f t="shared" si="6"/>
        <v>0</v>
      </c>
      <c r="O12" s="15">
        <f t="shared" si="7"/>
        <v>0</v>
      </c>
      <c r="Q12" s="16">
        <f t="shared" si="8"/>
        <v>0</v>
      </c>
      <c r="R12" s="16">
        <f t="shared" si="9"/>
        <v>0</v>
      </c>
      <c r="T12" s="17">
        <f t="shared" si="10"/>
        <v>0</v>
      </c>
      <c r="U12" s="17">
        <f t="shared" si="11"/>
        <v>0</v>
      </c>
      <c r="V12" s="39"/>
      <c r="W12" s="38">
        <f t="shared" si="12"/>
        <v>0</v>
      </c>
      <c r="X12" s="38">
        <f t="shared" si="13"/>
        <v>0</v>
      </c>
      <c r="Y12" s="7"/>
    </row>
    <row r="13" spans="1:29">
      <c r="A13" s="7" t="s">
        <v>772</v>
      </c>
      <c r="B13" s="8">
        <f t="shared" si="0"/>
        <v>2.5499999999999998</v>
      </c>
      <c r="C13" s="8">
        <f t="shared" si="17"/>
        <v>1.7</v>
      </c>
      <c r="E13" s="8">
        <v>1.7</v>
      </c>
      <c r="F13" s="22">
        <v>2</v>
      </c>
      <c r="G13" s="36">
        <f t="shared" si="2"/>
        <v>0</v>
      </c>
      <c r="H13" s="22">
        <f t="shared" si="3"/>
        <v>2</v>
      </c>
      <c r="K13" s="14">
        <f t="shared" si="4"/>
        <v>0</v>
      </c>
      <c r="L13" s="14">
        <f t="shared" si="5"/>
        <v>0</v>
      </c>
      <c r="N13" s="15">
        <f t="shared" si="6"/>
        <v>0</v>
      </c>
      <c r="O13" s="15">
        <f t="shared" si="7"/>
        <v>0</v>
      </c>
      <c r="Q13" s="16">
        <f t="shared" si="8"/>
        <v>0</v>
      </c>
      <c r="R13" s="16">
        <f t="shared" si="9"/>
        <v>0</v>
      </c>
      <c r="T13" s="17">
        <f t="shared" si="10"/>
        <v>0</v>
      </c>
      <c r="U13" s="17">
        <f t="shared" si="11"/>
        <v>0</v>
      </c>
      <c r="V13" s="39"/>
      <c r="W13" s="38">
        <f t="shared" si="12"/>
        <v>0</v>
      </c>
      <c r="X13" s="38">
        <f t="shared" si="13"/>
        <v>0</v>
      </c>
      <c r="Y13" s="7"/>
    </row>
    <row r="14" spans="1:29">
      <c r="A14" s="7" t="s">
        <v>837</v>
      </c>
      <c r="B14" s="8">
        <f t="shared" si="0"/>
        <v>2.25</v>
      </c>
      <c r="C14" s="8">
        <f t="shared" si="17"/>
        <v>1.5</v>
      </c>
      <c r="D14" s="13">
        <v>1.5</v>
      </c>
      <c r="F14" s="22">
        <v>10</v>
      </c>
      <c r="G14" s="36">
        <f t="shared" si="2"/>
        <v>18</v>
      </c>
      <c r="H14" s="22">
        <f t="shared" si="3"/>
        <v>-8</v>
      </c>
      <c r="J14" s="9">
        <v>1</v>
      </c>
      <c r="K14" s="14">
        <f t="shared" si="4"/>
        <v>1.5</v>
      </c>
      <c r="L14" s="14">
        <f t="shared" si="5"/>
        <v>2.25</v>
      </c>
      <c r="N14" s="15">
        <f t="shared" si="6"/>
        <v>0</v>
      </c>
      <c r="O14" s="15">
        <f t="shared" si="7"/>
        <v>0</v>
      </c>
      <c r="Q14" s="16">
        <f t="shared" si="8"/>
        <v>0</v>
      </c>
      <c r="R14" s="16">
        <f t="shared" si="9"/>
        <v>0</v>
      </c>
      <c r="T14" s="17">
        <f t="shared" si="10"/>
        <v>0</v>
      </c>
      <c r="U14" s="17">
        <f t="shared" si="11"/>
        <v>0</v>
      </c>
      <c r="V14" s="39"/>
      <c r="W14" s="38">
        <f t="shared" si="12"/>
        <v>0</v>
      </c>
      <c r="X14" s="38">
        <f t="shared" si="13"/>
        <v>0</v>
      </c>
      <c r="Y14" s="7"/>
    </row>
    <row r="15" spans="1:29">
      <c r="A15" s="7" t="s">
        <v>853</v>
      </c>
      <c r="B15" s="8">
        <f t="shared" si="0"/>
        <v>2.25</v>
      </c>
      <c r="C15" s="8">
        <f t="shared" ref="C15:C26" si="18">AVERAGE(D15:E15)</f>
        <v>1.5</v>
      </c>
      <c r="D15" s="8">
        <v>1.5</v>
      </c>
      <c r="F15" s="22">
        <v>20</v>
      </c>
      <c r="G15" s="36">
        <f t="shared" si="2"/>
        <v>18</v>
      </c>
      <c r="H15" s="22">
        <f t="shared" si="3"/>
        <v>2</v>
      </c>
      <c r="J15" s="9">
        <v>1</v>
      </c>
      <c r="K15" s="14">
        <f t="shared" si="4"/>
        <v>1.5</v>
      </c>
      <c r="L15" s="14">
        <f t="shared" si="5"/>
        <v>2.25</v>
      </c>
      <c r="N15" s="15">
        <f t="shared" si="6"/>
        <v>0</v>
      </c>
      <c r="O15" s="15">
        <f t="shared" si="7"/>
        <v>0</v>
      </c>
      <c r="Q15" s="16">
        <f t="shared" si="8"/>
        <v>0</v>
      </c>
      <c r="R15" s="16">
        <f t="shared" si="9"/>
        <v>0</v>
      </c>
      <c r="T15" s="17">
        <f t="shared" si="10"/>
        <v>0</v>
      </c>
      <c r="U15" s="17">
        <f t="shared" si="11"/>
        <v>0</v>
      </c>
      <c r="V15" s="39"/>
      <c r="W15" s="38">
        <f t="shared" si="12"/>
        <v>0</v>
      </c>
      <c r="X15" s="38">
        <f t="shared" si="13"/>
        <v>0</v>
      </c>
      <c r="Y15" s="7"/>
    </row>
    <row r="16" spans="1:29" hidden="1">
      <c r="A16" s="7" t="s">
        <v>779</v>
      </c>
      <c r="B16" s="8">
        <f t="shared" ref="B16:B17" si="19">C16*(1+$B$2)</f>
        <v>1.7999999999999998</v>
      </c>
      <c r="C16" s="8">
        <f t="shared" ref="C16:C17" si="20">AVERAGE(D16:E16)</f>
        <v>1.2</v>
      </c>
      <c r="D16" s="13">
        <v>1.2</v>
      </c>
      <c r="F16" s="22">
        <v>1</v>
      </c>
      <c r="G16" s="36">
        <f t="shared" ref="G16:G17" si="21">(I16)+(J16*$J$2)+(M16*$M$2)+(P16*$P$2)+(S16*$S$2)+(V16*$V$2)+(Y16*$Y$2)+(Z16*$Z$2)+(AA16*$AA$2)+(AB16*$AB$2)+(AC16*$AC$2)</f>
        <v>0</v>
      </c>
      <c r="H16" s="22">
        <f t="shared" ref="H16:H17" si="22">SUM(F16,-G16)</f>
        <v>1</v>
      </c>
      <c r="K16" s="14">
        <f t="shared" ref="K16:K17" si="23">J16*C16</f>
        <v>0</v>
      </c>
      <c r="L16" s="14">
        <f t="shared" ref="L16:L17" si="24">J16*B16</f>
        <v>0</v>
      </c>
      <c r="N16" s="15">
        <f t="shared" ref="N16:N17" si="25">M16*C16</f>
        <v>0</v>
      </c>
      <c r="O16" s="15">
        <f t="shared" ref="O16:O17" si="26">M16*B16</f>
        <v>0</v>
      </c>
      <c r="Q16" s="16">
        <f t="shared" ref="Q16:Q17" si="27">P16*C16</f>
        <v>0</v>
      </c>
      <c r="R16" s="16">
        <f t="shared" ref="R16:R17" si="28">P16*B16</f>
        <v>0</v>
      </c>
      <c r="T16" s="17">
        <f t="shared" ref="T16:T17" si="29">S16*C16</f>
        <v>0</v>
      </c>
      <c r="U16" s="17">
        <f t="shared" ref="U16:U17" si="30">S16*B16</f>
        <v>0</v>
      </c>
      <c r="V16" s="39"/>
      <c r="W16" s="38">
        <f t="shared" ref="W16:W17" si="31">V16*C16</f>
        <v>0</v>
      </c>
      <c r="X16" s="38">
        <f t="shared" ref="X16:X17" si="32">V16*B16</f>
        <v>0</v>
      </c>
      <c r="Y16" s="7"/>
    </row>
    <row r="17" spans="1:29">
      <c r="A17" s="7" t="s">
        <v>792</v>
      </c>
      <c r="B17" s="8">
        <f t="shared" si="19"/>
        <v>1.875</v>
      </c>
      <c r="C17" s="8">
        <f t="shared" si="20"/>
        <v>1.25</v>
      </c>
      <c r="D17" s="13">
        <v>1.25</v>
      </c>
      <c r="F17" s="22">
        <v>20</v>
      </c>
      <c r="G17" s="36">
        <f t="shared" si="21"/>
        <v>33</v>
      </c>
      <c r="H17" s="22">
        <f t="shared" si="22"/>
        <v>-13</v>
      </c>
      <c r="J17" s="9">
        <v>1</v>
      </c>
      <c r="K17" s="14">
        <f t="shared" si="23"/>
        <v>1.25</v>
      </c>
      <c r="L17" s="14">
        <f t="shared" si="24"/>
        <v>1.875</v>
      </c>
      <c r="M17" s="10">
        <v>1</v>
      </c>
      <c r="N17" s="15">
        <f t="shared" si="25"/>
        <v>1.25</v>
      </c>
      <c r="O17" s="15">
        <f t="shared" si="26"/>
        <v>1.875</v>
      </c>
      <c r="Q17" s="16">
        <f t="shared" si="27"/>
        <v>0</v>
      </c>
      <c r="R17" s="16">
        <f t="shared" si="28"/>
        <v>0</v>
      </c>
      <c r="T17" s="17">
        <f t="shared" si="29"/>
        <v>0</v>
      </c>
      <c r="U17" s="17">
        <f t="shared" si="30"/>
        <v>0</v>
      </c>
      <c r="V17" s="39"/>
      <c r="W17" s="38">
        <f t="shared" si="31"/>
        <v>0</v>
      </c>
      <c r="X17" s="38">
        <f t="shared" si="32"/>
        <v>0</v>
      </c>
      <c r="Y17" s="7"/>
    </row>
    <row r="18" spans="1:29">
      <c r="A18" s="7" t="s">
        <v>793</v>
      </c>
      <c r="B18" s="8">
        <f>C18*(1+$B$2)</f>
        <v>1.6500000000000001</v>
      </c>
      <c r="C18" s="8">
        <f t="shared" si="18"/>
        <v>1.1000000000000001</v>
      </c>
      <c r="D18" s="8">
        <v>1.1000000000000001</v>
      </c>
      <c r="F18" s="22">
        <v>0</v>
      </c>
      <c r="G18" s="36">
        <f>(I18)+(J18*$J$2)+(M18*$M$2)+(P18*$P$2)+(S18*$S$2)+(V18*$V$2)+(Y18*$Y$2)+(Z18*$Z$2)+(AA18*$AA$2)+(AB18*$AB$2)+(AC18*$AC$2)</f>
        <v>0</v>
      </c>
      <c r="H18" s="22">
        <f>SUM(F18,-G18)</f>
        <v>0</v>
      </c>
      <c r="K18" s="14">
        <f t="shared" ref="K18:K26" si="33">J18*C18</f>
        <v>0</v>
      </c>
      <c r="L18" s="14">
        <f t="shared" ref="L18:L26" si="34">J18*B18</f>
        <v>0</v>
      </c>
      <c r="N18" s="15">
        <f t="shared" ref="N18:N26" si="35">M18*C18</f>
        <v>0</v>
      </c>
      <c r="O18" s="15">
        <f t="shared" ref="O18:O26" si="36">M18*B18</f>
        <v>0</v>
      </c>
      <c r="Q18" s="16">
        <f t="shared" ref="Q18:Q26" si="37">P18*C18</f>
        <v>0</v>
      </c>
      <c r="R18" s="16">
        <f t="shared" ref="R18:R26" si="38">P18*B18</f>
        <v>0</v>
      </c>
      <c r="T18" s="17">
        <f t="shared" ref="T18:T26" si="39">S18*C18</f>
        <v>0</v>
      </c>
      <c r="U18" s="17">
        <f t="shared" ref="U18:U26" si="40">S18*B18</f>
        <v>0</v>
      </c>
      <c r="V18" s="39"/>
      <c r="W18" s="38">
        <f t="shared" si="12"/>
        <v>0</v>
      </c>
      <c r="X18" s="38">
        <f t="shared" si="13"/>
        <v>0</v>
      </c>
      <c r="Y18" s="7"/>
    </row>
    <row r="19" spans="1:29">
      <c r="A19" s="7" t="s">
        <v>843</v>
      </c>
      <c r="B19" s="8">
        <f>C19*(1+$B$2)</f>
        <v>3</v>
      </c>
      <c r="C19" s="8">
        <f t="shared" si="18"/>
        <v>2</v>
      </c>
      <c r="D19" s="13">
        <v>2</v>
      </c>
      <c r="F19" s="22">
        <v>60</v>
      </c>
      <c r="G19" s="36">
        <f>(I19)+(J19*$J$2)+(M19*$M$2)+(P19*$P$2)+(S19*$S$2)+(V19*$V$2)+(Y19*$Y$2)+(Z19*$Z$2)+(AA19*$AA$2)+(AB19*$AB$2)+(AC19*$AC$2)</f>
        <v>51</v>
      </c>
      <c r="H19" s="22">
        <f>SUM(F19,-G19)</f>
        <v>9</v>
      </c>
      <c r="J19" s="9">
        <v>2</v>
      </c>
      <c r="K19" s="14">
        <f t="shared" si="33"/>
        <v>4</v>
      </c>
      <c r="L19" s="14">
        <f t="shared" si="34"/>
        <v>6</v>
      </c>
      <c r="M19" s="10">
        <v>1</v>
      </c>
      <c r="N19" s="15">
        <f t="shared" si="35"/>
        <v>2</v>
      </c>
      <c r="O19" s="15">
        <f t="shared" si="36"/>
        <v>3</v>
      </c>
      <c r="Q19" s="16">
        <f t="shared" si="37"/>
        <v>0</v>
      </c>
      <c r="R19" s="16">
        <f t="shared" si="38"/>
        <v>0</v>
      </c>
      <c r="T19" s="17">
        <f t="shared" si="39"/>
        <v>0</v>
      </c>
      <c r="U19" s="17">
        <f t="shared" si="40"/>
        <v>0</v>
      </c>
      <c r="V19" s="39"/>
      <c r="W19" s="38">
        <f t="shared" si="12"/>
        <v>0</v>
      </c>
      <c r="X19" s="38">
        <f t="shared" si="13"/>
        <v>0</v>
      </c>
      <c r="Y19" s="7"/>
    </row>
    <row r="20" spans="1:29">
      <c r="A20" s="7" t="s">
        <v>794</v>
      </c>
      <c r="B20" s="8">
        <f>C20*(1+$B$2)</f>
        <v>1.875</v>
      </c>
      <c r="C20" s="8">
        <f t="shared" si="18"/>
        <v>1.25</v>
      </c>
      <c r="D20" s="8">
        <v>1.25</v>
      </c>
      <c r="F20" s="22">
        <v>0</v>
      </c>
      <c r="G20" s="36">
        <f>(I20)+(J20*$J$2)+(M20*$M$2)+(P20*$P$2)+(S20*$S$2)+(V20*$V$2)+(Y20*$Y$2)+(Z20*$Z$2)+(AA20*$AA$2)+(AB20*$AB$2)+(AC20*$AC$2)</f>
        <v>0</v>
      </c>
      <c r="H20" s="22">
        <f>SUM(F20,-G20)</f>
        <v>0</v>
      </c>
      <c r="K20" s="14">
        <f t="shared" si="33"/>
        <v>0</v>
      </c>
      <c r="L20" s="14">
        <f t="shared" si="34"/>
        <v>0</v>
      </c>
      <c r="N20" s="15">
        <f t="shared" si="35"/>
        <v>0</v>
      </c>
      <c r="O20" s="15">
        <f t="shared" si="36"/>
        <v>0</v>
      </c>
      <c r="Q20" s="16">
        <f t="shared" si="37"/>
        <v>0</v>
      </c>
      <c r="R20" s="16">
        <f t="shared" si="38"/>
        <v>0</v>
      </c>
      <c r="T20" s="17">
        <f t="shared" si="39"/>
        <v>0</v>
      </c>
      <c r="U20" s="17">
        <f t="shared" si="40"/>
        <v>0</v>
      </c>
      <c r="V20" s="39"/>
      <c r="W20" s="38">
        <f t="shared" si="12"/>
        <v>0</v>
      </c>
      <c r="X20" s="38">
        <f t="shared" si="13"/>
        <v>0</v>
      </c>
      <c r="Y20" s="7"/>
    </row>
    <row r="21" spans="1:29">
      <c r="A21" s="7" t="s">
        <v>854</v>
      </c>
      <c r="B21" s="8">
        <f t="shared" ref="B21:B26" si="41">C21*(1+$B$2)</f>
        <v>1.875</v>
      </c>
      <c r="C21" s="8">
        <f t="shared" si="18"/>
        <v>1.25</v>
      </c>
      <c r="D21" s="13">
        <v>1.25</v>
      </c>
      <c r="F21" s="22">
        <v>20</v>
      </c>
      <c r="G21" s="36">
        <f>(I21)+(J21*$J$2)+(M21*$M$2)+(P21*$P$2)+(S21*$S$2)+(V21*$V$2)+(Y21*$Y$2)+(Z21*$Z$2)+(AA21*$AA$2)+(AB21*$AB$2)+(AC21*$AC$2)</f>
        <v>15</v>
      </c>
      <c r="H21" s="22">
        <f>SUM(F21,-G21)</f>
        <v>5</v>
      </c>
      <c r="K21" s="14">
        <f t="shared" si="33"/>
        <v>0</v>
      </c>
      <c r="L21" s="14">
        <f t="shared" si="34"/>
        <v>0</v>
      </c>
      <c r="M21" s="10">
        <v>1</v>
      </c>
      <c r="N21" s="15">
        <f t="shared" si="35"/>
        <v>1.25</v>
      </c>
      <c r="O21" s="15">
        <f t="shared" si="36"/>
        <v>1.875</v>
      </c>
      <c r="Q21" s="16">
        <f t="shared" si="37"/>
        <v>0</v>
      </c>
      <c r="R21" s="16">
        <f t="shared" si="38"/>
        <v>0</v>
      </c>
      <c r="T21" s="17">
        <f t="shared" si="39"/>
        <v>0</v>
      </c>
      <c r="U21" s="17">
        <f t="shared" si="40"/>
        <v>0</v>
      </c>
      <c r="V21" s="39"/>
      <c r="W21" s="38">
        <f t="shared" si="12"/>
        <v>0</v>
      </c>
      <c r="X21" s="38">
        <f t="shared" si="13"/>
        <v>0</v>
      </c>
      <c r="Y21" s="7"/>
    </row>
    <row r="22" spans="1:29">
      <c r="A22" s="7" t="s">
        <v>796</v>
      </c>
      <c r="B22" s="8">
        <f t="shared" si="41"/>
        <v>1.875</v>
      </c>
      <c r="C22" s="8">
        <f t="shared" si="18"/>
        <v>1.25</v>
      </c>
      <c r="D22" s="13">
        <v>1.25</v>
      </c>
      <c r="F22" s="22">
        <v>30</v>
      </c>
      <c r="G22" s="36">
        <f>(I22)+(J22*$J$2)+(M22*$M$2)+(P22*$P$2)+(S22*$S$2)+(V22*$V$2)+(Y22*$Y$2)+(Z22*$Z$2)+(AA22*$AA$2)+(AB22*$AB$2)+(AC22*$AC$2)</f>
        <v>33</v>
      </c>
      <c r="H22" s="22">
        <f>SUM(F22,-G22)</f>
        <v>-3</v>
      </c>
      <c r="J22" s="9">
        <v>1</v>
      </c>
      <c r="K22" s="14">
        <f t="shared" si="33"/>
        <v>1.25</v>
      </c>
      <c r="L22" s="14">
        <f t="shared" si="34"/>
        <v>1.875</v>
      </c>
      <c r="M22" s="10">
        <v>1</v>
      </c>
      <c r="N22" s="15">
        <f t="shared" si="35"/>
        <v>1.25</v>
      </c>
      <c r="O22" s="15">
        <f t="shared" si="36"/>
        <v>1.875</v>
      </c>
      <c r="Q22" s="16">
        <f t="shared" si="37"/>
        <v>0</v>
      </c>
      <c r="R22" s="16">
        <f t="shared" si="38"/>
        <v>0</v>
      </c>
      <c r="T22" s="17">
        <f t="shared" si="39"/>
        <v>0</v>
      </c>
      <c r="U22" s="17">
        <f t="shared" si="40"/>
        <v>0</v>
      </c>
      <c r="V22" s="39"/>
      <c r="W22" s="38">
        <f t="shared" si="12"/>
        <v>0</v>
      </c>
      <c r="X22" s="38">
        <f t="shared" si="13"/>
        <v>0</v>
      </c>
      <c r="Y22" s="7"/>
    </row>
    <row r="23" spans="1:29">
      <c r="A23" s="7" t="s">
        <v>789</v>
      </c>
      <c r="B23" s="8">
        <f t="shared" si="41"/>
        <v>1.6949999999999998</v>
      </c>
      <c r="C23" s="8">
        <f t="shared" si="18"/>
        <v>1.1299999999999999</v>
      </c>
      <c r="D23" s="8">
        <v>1.1299999999999999</v>
      </c>
      <c r="F23" s="22">
        <v>30</v>
      </c>
      <c r="G23" s="36">
        <f t="shared" ref="G23:G29" si="42">(I23)+(J23*$J$2)+(M23*$M$2)+(P23*$P$2)+(S23*$S$2)+(V23*$V$2)+(Y23*$Y$2)+(Z23*$Z$2)+(AA23*$AA$2)+(AB23*$AB$2)+(AC23*$AC$2)</f>
        <v>48</v>
      </c>
      <c r="H23" s="22">
        <f t="shared" ref="H23:H29" si="43">SUM(F23,-G23)</f>
        <v>-18</v>
      </c>
      <c r="J23" s="9">
        <v>1</v>
      </c>
      <c r="K23" s="14">
        <f t="shared" si="33"/>
        <v>1.1299999999999999</v>
      </c>
      <c r="L23" s="14">
        <f t="shared" si="34"/>
        <v>1.6949999999999998</v>
      </c>
      <c r="M23" s="10">
        <v>2</v>
      </c>
      <c r="N23" s="15">
        <f t="shared" si="35"/>
        <v>2.2599999999999998</v>
      </c>
      <c r="O23" s="15">
        <f t="shared" si="36"/>
        <v>3.3899999999999997</v>
      </c>
      <c r="Q23" s="16">
        <f t="shared" si="37"/>
        <v>0</v>
      </c>
      <c r="R23" s="16">
        <f t="shared" si="38"/>
        <v>0</v>
      </c>
      <c r="T23" s="17">
        <f t="shared" si="39"/>
        <v>0</v>
      </c>
      <c r="U23" s="17">
        <f t="shared" si="40"/>
        <v>0</v>
      </c>
      <c r="V23" s="39"/>
      <c r="W23" s="38">
        <f t="shared" si="12"/>
        <v>0</v>
      </c>
      <c r="X23" s="38">
        <f t="shared" si="13"/>
        <v>0</v>
      </c>
      <c r="Y23" s="7"/>
    </row>
    <row r="24" spans="1:29">
      <c r="A24" s="7" t="s">
        <v>855</v>
      </c>
      <c r="B24" s="8">
        <f t="shared" si="41"/>
        <v>2.3250000000000002</v>
      </c>
      <c r="C24" s="8">
        <f t="shared" si="18"/>
        <v>1.55</v>
      </c>
      <c r="D24" s="8">
        <v>1.55</v>
      </c>
      <c r="G24" s="36">
        <f t="shared" si="42"/>
        <v>0</v>
      </c>
      <c r="H24" s="22">
        <f t="shared" si="43"/>
        <v>0</v>
      </c>
      <c r="K24" s="14">
        <f t="shared" si="33"/>
        <v>0</v>
      </c>
      <c r="L24" s="14">
        <f t="shared" si="34"/>
        <v>0</v>
      </c>
      <c r="N24" s="15">
        <f t="shared" si="35"/>
        <v>0</v>
      </c>
      <c r="O24" s="15">
        <f t="shared" si="36"/>
        <v>0</v>
      </c>
      <c r="Q24" s="16">
        <f t="shared" si="37"/>
        <v>0</v>
      </c>
      <c r="R24" s="16">
        <f t="shared" si="38"/>
        <v>0</v>
      </c>
      <c r="T24" s="17">
        <f t="shared" si="39"/>
        <v>0</v>
      </c>
      <c r="U24" s="17">
        <f t="shared" si="40"/>
        <v>0</v>
      </c>
      <c r="V24" s="39"/>
      <c r="W24" s="38">
        <f t="shared" si="12"/>
        <v>0</v>
      </c>
      <c r="X24" s="38">
        <f t="shared" si="13"/>
        <v>0</v>
      </c>
      <c r="Y24" s="7"/>
    </row>
    <row r="25" spans="1:29">
      <c r="A25" s="7" t="s">
        <v>781</v>
      </c>
      <c r="B25" s="8">
        <f t="shared" si="41"/>
        <v>1.5</v>
      </c>
      <c r="C25" s="8">
        <f t="shared" si="18"/>
        <v>1</v>
      </c>
      <c r="D25" s="8">
        <v>1.1000000000000001</v>
      </c>
      <c r="E25" s="8">
        <v>0.9</v>
      </c>
      <c r="F25" s="22">
        <v>200</v>
      </c>
      <c r="G25" s="36">
        <f t="shared" si="42"/>
        <v>81</v>
      </c>
      <c r="H25" s="22">
        <f t="shared" si="43"/>
        <v>119</v>
      </c>
      <c r="J25" s="9">
        <v>2</v>
      </c>
      <c r="K25" s="14">
        <f t="shared" si="33"/>
        <v>2</v>
      </c>
      <c r="L25" s="14">
        <f t="shared" si="34"/>
        <v>3</v>
      </c>
      <c r="M25" s="10">
        <v>3</v>
      </c>
      <c r="N25" s="15">
        <f t="shared" si="35"/>
        <v>3</v>
      </c>
      <c r="O25" s="15">
        <f t="shared" si="36"/>
        <v>4.5</v>
      </c>
      <c r="Q25" s="16">
        <f t="shared" si="37"/>
        <v>0</v>
      </c>
      <c r="R25" s="16">
        <f t="shared" si="38"/>
        <v>0</v>
      </c>
      <c r="T25" s="17">
        <f t="shared" si="39"/>
        <v>0</v>
      </c>
      <c r="U25" s="17">
        <f t="shared" si="40"/>
        <v>0</v>
      </c>
      <c r="V25" s="39"/>
      <c r="W25" s="38">
        <f t="shared" si="12"/>
        <v>0</v>
      </c>
      <c r="X25" s="38">
        <f t="shared" si="13"/>
        <v>0</v>
      </c>
      <c r="Y25" s="7"/>
    </row>
    <row r="26" spans="1:29">
      <c r="A26" s="7" t="s">
        <v>856</v>
      </c>
      <c r="B26" s="8">
        <f t="shared" si="41"/>
        <v>3.3675000000000002</v>
      </c>
      <c r="C26" s="8">
        <f t="shared" si="18"/>
        <v>2.2450000000000001</v>
      </c>
      <c r="D26" s="8">
        <v>1.3</v>
      </c>
      <c r="E26" s="8">
        <v>3.19</v>
      </c>
      <c r="F26" s="22">
        <v>50</v>
      </c>
      <c r="G26" s="36">
        <f t="shared" si="42"/>
        <v>33</v>
      </c>
      <c r="H26" s="22">
        <f t="shared" si="43"/>
        <v>17</v>
      </c>
      <c r="J26" s="9">
        <v>1</v>
      </c>
      <c r="K26" s="14">
        <f t="shared" si="33"/>
        <v>2.2450000000000001</v>
      </c>
      <c r="L26" s="14">
        <f t="shared" si="34"/>
        <v>3.3675000000000002</v>
      </c>
      <c r="M26" s="10">
        <v>1</v>
      </c>
      <c r="N26" s="15">
        <f t="shared" si="35"/>
        <v>2.2450000000000001</v>
      </c>
      <c r="O26" s="15">
        <f t="shared" si="36"/>
        <v>3.3675000000000002</v>
      </c>
      <c r="Q26" s="16">
        <f t="shared" si="37"/>
        <v>0</v>
      </c>
      <c r="R26" s="16">
        <f t="shared" si="38"/>
        <v>0</v>
      </c>
      <c r="T26" s="17">
        <f t="shared" si="39"/>
        <v>0</v>
      </c>
      <c r="U26" s="17">
        <f t="shared" si="40"/>
        <v>0</v>
      </c>
      <c r="V26" s="39"/>
      <c r="W26" s="38">
        <f t="shared" si="12"/>
        <v>0</v>
      </c>
      <c r="X26" s="38">
        <f t="shared" si="13"/>
        <v>0</v>
      </c>
      <c r="Y26" s="7"/>
    </row>
    <row r="27" spans="1:29">
      <c r="A27" s="7" t="s">
        <v>786</v>
      </c>
      <c r="B27" s="8">
        <f t="shared" ref="B27:B29" si="44">C27*(1+$B$2)</f>
        <v>1.845</v>
      </c>
      <c r="C27" s="8">
        <f t="shared" ref="C27:C29" si="45">AVERAGE(D27:E27)</f>
        <v>1.23</v>
      </c>
      <c r="D27" s="8">
        <v>1.23</v>
      </c>
      <c r="F27" s="22">
        <v>40</v>
      </c>
      <c r="G27" s="36">
        <f t="shared" si="42"/>
        <v>33</v>
      </c>
      <c r="H27" s="22">
        <f t="shared" si="43"/>
        <v>7</v>
      </c>
      <c r="J27" s="9">
        <v>1</v>
      </c>
      <c r="K27" s="14">
        <f t="shared" ref="K27:K29" si="46">J27*C27</f>
        <v>1.23</v>
      </c>
      <c r="L27" s="14">
        <f t="shared" ref="L27:L29" si="47">J27*B27</f>
        <v>1.845</v>
      </c>
      <c r="M27" s="10">
        <v>1</v>
      </c>
      <c r="N27" s="15">
        <f t="shared" ref="N27:N29" si="48">M27*C27</f>
        <v>1.23</v>
      </c>
      <c r="O27" s="15">
        <f t="shared" ref="O27:O29" si="49">M27*B27</f>
        <v>1.845</v>
      </c>
      <c r="Q27" s="16">
        <f t="shared" ref="Q27:Q29" si="50">P27*C27</f>
        <v>0</v>
      </c>
      <c r="R27" s="16">
        <f t="shared" ref="R27:R29" si="51">P27*B27</f>
        <v>0</v>
      </c>
      <c r="T27" s="17">
        <f t="shared" ref="T27:T29" si="52">S27*C27</f>
        <v>0</v>
      </c>
      <c r="U27" s="17">
        <f t="shared" ref="U27:U29" si="53">S27*B27</f>
        <v>0</v>
      </c>
      <c r="V27" s="39"/>
      <c r="W27" s="38">
        <f t="shared" ref="W27:W29" si="54">V27*C27</f>
        <v>0</v>
      </c>
      <c r="X27" s="38">
        <f t="shared" ref="X27:X29" si="55">V27*B27</f>
        <v>0</v>
      </c>
      <c r="Y27" s="7"/>
    </row>
    <row r="28" spans="1:29">
      <c r="A28" s="7" t="s">
        <v>182</v>
      </c>
      <c r="B28" s="8">
        <f t="shared" si="44"/>
        <v>1.6500000000000001</v>
      </c>
      <c r="C28" s="8">
        <f t="shared" si="45"/>
        <v>1.1000000000000001</v>
      </c>
      <c r="D28" s="8">
        <v>1.1000000000000001</v>
      </c>
      <c r="F28" s="22">
        <v>60</v>
      </c>
      <c r="G28" s="36">
        <f t="shared" si="42"/>
        <v>48</v>
      </c>
      <c r="H28" s="22">
        <f t="shared" si="43"/>
        <v>12</v>
      </c>
      <c r="J28" s="9">
        <v>1</v>
      </c>
      <c r="K28" s="14">
        <f t="shared" si="46"/>
        <v>1.1000000000000001</v>
      </c>
      <c r="L28" s="14">
        <f t="shared" si="47"/>
        <v>1.6500000000000001</v>
      </c>
      <c r="M28" s="10">
        <v>2</v>
      </c>
      <c r="N28" s="15">
        <f t="shared" si="48"/>
        <v>2.2000000000000002</v>
      </c>
      <c r="O28" s="15">
        <f t="shared" si="49"/>
        <v>3.3000000000000003</v>
      </c>
      <c r="Q28" s="16">
        <f t="shared" si="50"/>
        <v>0</v>
      </c>
      <c r="R28" s="16">
        <f t="shared" si="51"/>
        <v>0</v>
      </c>
      <c r="T28" s="17">
        <f t="shared" si="52"/>
        <v>0</v>
      </c>
      <c r="U28" s="17">
        <f t="shared" si="53"/>
        <v>0</v>
      </c>
      <c r="V28" s="39"/>
      <c r="W28" s="38">
        <f t="shared" si="54"/>
        <v>0</v>
      </c>
      <c r="X28" s="38">
        <f t="shared" si="55"/>
        <v>0</v>
      </c>
      <c r="Y28" s="7"/>
    </row>
    <row r="29" spans="1:29">
      <c r="A29" s="7" t="s">
        <v>787</v>
      </c>
      <c r="B29" s="8">
        <f t="shared" si="44"/>
        <v>1.35</v>
      </c>
      <c r="C29" s="8">
        <f t="shared" si="45"/>
        <v>0.9</v>
      </c>
      <c r="D29" s="8">
        <v>0.9</v>
      </c>
      <c r="G29" s="36">
        <f t="shared" si="42"/>
        <v>0</v>
      </c>
      <c r="H29" s="22">
        <f t="shared" si="43"/>
        <v>0</v>
      </c>
      <c r="K29" s="14">
        <f t="shared" si="46"/>
        <v>0</v>
      </c>
      <c r="L29" s="14">
        <f t="shared" si="47"/>
        <v>0</v>
      </c>
      <c r="N29" s="15">
        <f t="shared" si="48"/>
        <v>0</v>
      </c>
      <c r="O29" s="15">
        <f t="shared" si="49"/>
        <v>0</v>
      </c>
      <c r="Q29" s="16">
        <f t="shared" si="50"/>
        <v>0</v>
      </c>
      <c r="R29" s="16">
        <f t="shared" si="51"/>
        <v>0</v>
      </c>
      <c r="T29" s="17">
        <f t="shared" si="52"/>
        <v>0</v>
      </c>
      <c r="U29" s="17">
        <f t="shared" si="53"/>
        <v>0</v>
      </c>
      <c r="V29" s="39"/>
      <c r="W29" s="38">
        <f t="shared" si="54"/>
        <v>0</v>
      </c>
      <c r="X29" s="38">
        <f t="shared" si="55"/>
        <v>0</v>
      </c>
      <c r="Y29" s="7"/>
    </row>
    <row r="30" spans="1:29">
      <c r="V30" s="39"/>
      <c r="W30" s="39"/>
      <c r="X30" s="39"/>
      <c r="Y30" s="7"/>
    </row>
    <row r="31" spans="1:29" s="19" customFormat="1">
      <c r="A31" s="19" t="s">
        <v>845</v>
      </c>
      <c r="B31" s="18"/>
      <c r="C31" s="18"/>
      <c r="D31" s="18"/>
      <c r="E31" s="18"/>
      <c r="F31" s="21"/>
      <c r="G31" s="35"/>
      <c r="H31" s="21"/>
      <c r="I31" s="21"/>
      <c r="J31" s="20"/>
      <c r="K31" s="23">
        <f>SUM(K3:K26)</f>
        <v>21.475000000000001</v>
      </c>
      <c r="L31" s="23">
        <f t="shared" ref="L31:U31" si="56">SUM(L3:L26)</f>
        <v>32.212499999999999</v>
      </c>
      <c r="M31" s="24"/>
      <c r="N31" s="24">
        <f t="shared" si="56"/>
        <v>25.580000000000002</v>
      </c>
      <c r="O31" s="24">
        <f t="shared" si="56"/>
        <v>38.369999999999997</v>
      </c>
      <c r="P31" s="25"/>
      <c r="Q31" s="25">
        <f t="shared" si="56"/>
        <v>0</v>
      </c>
      <c r="R31" s="25">
        <f t="shared" si="56"/>
        <v>0</v>
      </c>
      <c r="S31" s="26"/>
      <c r="T31" s="26">
        <f t="shared" si="56"/>
        <v>0</v>
      </c>
      <c r="U31" s="26">
        <f t="shared" si="56"/>
        <v>0</v>
      </c>
      <c r="V31" s="40"/>
      <c r="W31" s="40">
        <f t="shared" ref="W31:X31" si="57">SUM(W3:W26)</f>
        <v>0</v>
      </c>
      <c r="X31" s="40">
        <f t="shared" si="57"/>
        <v>0</v>
      </c>
      <c r="Y31" s="40"/>
      <c r="Z31" s="40"/>
      <c r="AA31" s="40"/>
      <c r="AB31" s="40"/>
      <c r="AC31" s="40"/>
    </row>
    <row r="32" spans="1:29">
      <c r="A32" s="7" t="s">
        <v>800</v>
      </c>
      <c r="K32" s="30">
        <f>(20*1.33)*5/60</f>
        <v>2.2166666666666668</v>
      </c>
      <c r="L32" s="30">
        <f>((20*1.33)*5/60)*1.5</f>
        <v>3.3250000000000002</v>
      </c>
      <c r="M32" s="31"/>
      <c r="N32" s="31">
        <f>(20*1.33)*7.5/60</f>
        <v>3.3250000000000002</v>
      </c>
      <c r="O32" s="31">
        <f>((20*1.33)*7/60)*1.5</f>
        <v>4.6550000000000002</v>
      </c>
      <c r="P32" s="32"/>
      <c r="Q32" s="32">
        <f>(20*1.33)*5/60</f>
        <v>2.2166666666666668</v>
      </c>
      <c r="R32" s="32">
        <f>(20*1.33)*7/60</f>
        <v>3.1033333333333335</v>
      </c>
      <c r="S32" s="33"/>
      <c r="T32" s="33">
        <f>(20*1.33)*5/60</f>
        <v>2.2166666666666668</v>
      </c>
      <c r="U32" s="33">
        <f>((20*1.33)*5/60)*1.5</f>
        <v>3.3250000000000002</v>
      </c>
      <c r="V32" s="41"/>
      <c r="W32" s="41">
        <f>(20*1.33)*15/60</f>
        <v>6.65</v>
      </c>
      <c r="X32" s="41">
        <f>((20*1.33)*15/60)*1.5</f>
        <v>9.9750000000000014</v>
      </c>
      <c r="Y32" s="41"/>
      <c r="Z32" s="41"/>
      <c r="AA32" s="41"/>
      <c r="AB32" s="41"/>
      <c r="AC32" s="41"/>
    </row>
    <row r="33" spans="1:30" s="49" customFormat="1" ht="19">
      <c r="A33" s="49" t="s">
        <v>802</v>
      </c>
      <c r="B33" s="45"/>
      <c r="C33" s="45"/>
      <c r="D33" s="45"/>
      <c r="E33" s="45"/>
      <c r="F33" s="46"/>
      <c r="G33" s="47"/>
      <c r="H33" s="46"/>
      <c r="I33" s="46"/>
      <c r="J33" s="52"/>
      <c r="K33" s="53">
        <f>SUM(K31:K32)</f>
        <v>23.69166666666667</v>
      </c>
      <c r="L33" s="53">
        <f t="shared" ref="L33:U33" si="58">SUM(L31:L32)</f>
        <v>35.537500000000001</v>
      </c>
      <c r="M33" s="54"/>
      <c r="N33" s="54">
        <f t="shared" si="58"/>
        <v>28.905000000000001</v>
      </c>
      <c r="O33" s="54">
        <f t="shared" si="58"/>
        <v>43.024999999999999</v>
      </c>
      <c r="P33" s="55"/>
      <c r="Q33" s="55">
        <f t="shared" si="58"/>
        <v>2.2166666666666668</v>
      </c>
      <c r="R33" s="55">
        <f t="shared" si="58"/>
        <v>3.1033333333333335</v>
      </c>
      <c r="S33" s="56"/>
      <c r="T33" s="56">
        <f t="shared" si="58"/>
        <v>2.2166666666666668</v>
      </c>
      <c r="U33" s="56">
        <f t="shared" si="58"/>
        <v>3.3250000000000002</v>
      </c>
      <c r="V33" s="57"/>
      <c r="W33" s="57">
        <f t="shared" ref="W33:X33" si="59">SUM(W31:W32)</f>
        <v>6.65</v>
      </c>
      <c r="X33" s="57">
        <f t="shared" si="59"/>
        <v>9.9750000000000014</v>
      </c>
      <c r="Y33" s="57"/>
      <c r="Z33" s="57"/>
      <c r="AA33" s="57"/>
      <c r="AB33" s="57"/>
      <c r="AC33" s="57"/>
      <c r="AD33" s="58"/>
    </row>
    <row r="34" spans="1:30">
      <c r="K34" s="27"/>
      <c r="L34" s="27"/>
      <c r="M34" s="28"/>
      <c r="N34" s="28"/>
      <c r="O34" s="28"/>
      <c r="P34" s="29"/>
      <c r="Q34" s="29"/>
      <c r="R34" s="29"/>
      <c r="S34" s="13"/>
      <c r="T34" s="13"/>
      <c r="U34" s="13"/>
      <c r="V34" s="42"/>
      <c r="W34" s="42"/>
      <c r="X34" s="42"/>
      <c r="Y34" s="7"/>
    </row>
    <row r="35" spans="1:30">
      <c r="A35" s="7" t="s">
        <v>803</v>
      </c>
      <c r="K35" s="27"/>
      <c r="L35" s="27"/>
      <c r="M35" s="28"/>
      <c r="N35" s="28"/>
      <c r="O35" s="28"/>
      <c r="P35" s="29"/>
      <c r="Q35" s="29"/>
      <c r="R35" s="29"/>
      <c r="S35" s="13"/>
      <c r="T35" s="13"/>
      <c r="U35" s="13"/>
      <c r="V35" s="42"/>
      <c r="W35" s="42"/>
      <c r="X35" s="42"/>
      <c r="Y35" s="7"/>
    </row>
    <row r="36" spans="1:30">
      <c r="A36" s="7" t="s">
        <v>804</v>
      </c>
      <c r="K36" s="27"/>
      <c r="L36" s="27"/>
      <c r="M36" s="28"/>
      <c r="N36" s="28"/>
      <c r="O36" s="28"/>
      <c r="P36" s="29"/>
      <c r="Q36" s="29"/>
      <c r="R36" s="29"/>
      <c r="S36" s="13"/>
      <c r="T36" s="13"/>
      <c r="U36" s="13"/>
      <c r="V36" s="42"/>
      <c r="W36" s="42"/>
      <c r="X36" s="42"/>
      <c r="Y36" s="7"/>
    </row>
    <row r="37" spans="1:30">
      <c r="V37" s="39"/>
      <c r="W37" s="39"/>
      <c r="X37" s="39"/>
      <c r="Y37" s="7"/>
    </row>
    <row r="38" spans="1:30">
      <c r="V38" s="39"/>
      <c r="W38" s="39"/>
      <c r="X38" s="39"/>
      <c r="Y38" s="7"/>
    </row>
    <row r="39" spans="1:30">
      <c r="V39" s="39"/>
      <c r="W39" s="39"/>
      <c r="X39" s="39"/>
      <c r="Y39" s="7"/>
    </row>
    <row r="40" spans="1:30">
      <c r="V40" s="39"/>
      <c r="W40" s="39"/>
      <c r="X40" s="39"/>
      <c r="Y40" s="7"/>
    </row>
  </sheetData>
  <mergeCells count="5">
    <mergeCell ref="J2:L2"/>
    <mergeCell ref="M2:O2"/>
    <mergeCell ref="P2:R2"/>
    <mergeCell ref="S2:U2"/>
    <mergeCell ref="V2:X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920B-69F2-B144-B000-7164042F5DCD}">
  <sheetPr codeName="Sheet22"/>
  <dimension ref="A1:AD59"/>
  <sheetViews>
    <sheetView topLeftCell="A7" zoomScale="107" workbookViewId="0">
      <pane xSplit="1" topLeftCell="B1" activePane="topRight" state="frozen"/>
      <selection pane="topRight" activeCell="A7" sqref="A1:XFD1048576"/>
    </sheetView>
  </sheetViews>
  <sheetFormatPr baseColWidth="10" defaultColWidth="10.83203125" defaultRowHeight="16"/>
  <cols>
    <col min="1" max="1" width="20.83203125" style="7" customWidth="1"/>
    <col min="2" max="2" width="10.33203125" style="8" customWidth="1"/>
    <col min="3" max="5" width="10" style="8" customWidth="1"/>
    <col min="6" max="6" width="10.83203125" style="22"/>
    <col min="7" max="7" width="10.83203125" style="36"/>
    <col min="8" max="8" width="10.83203125" style="22"/>
    <col min="9" max="9" width="19.1640625" style="22" customWidth="1"/>
    <col min="10" max="12" width="10.83203125" style="9"/>
    <col min="13" max="15" width="10.83203125" style="10"/>
    <col min="16" max="18" width="10.83203125" style="11"/>
    <col min="19" max="21" width="10.83203125" style="12"/>
    <col min="22" max="24" width="10.83203125" style="43"/>
    <col min="26" max="29" width="10.83203125" style="7"/>
    <col min="30" max="30" width="11" customWidth="1"/>
    <col min="31" max="16384" width="10.83203125" style="7"/>
  </cols>
  <sheetData>
    <row r="1" spans="1:30" s="1" customFormat="1" ht="75.75" customHeight="1">
      <c r="A1" s="1" t="s">
        <v>6</v>
      </c>
      <c r="B1" s="2" t="s">
        <v>743</v>
      </c>
      <c r="C1" s="2" t="s">
        <v>744</v>
      </c>
      <c r="D1" s="2" t="s">
        <v>745</v>
      </c>
      <c r="E1" s="2" t="s">
        <v>746</v>
      </c>
      <c r="F1" s="1" t="s">
        <v>806</v>
      </c>
      <c r="G1" s="34" t="s">
        <v>748</v>
      </c>
      <c r="H1" s="1" t="s">
        <v>807</v>
      </c>
      <c r="I1" s="1" t="s">
        <v>761</v>
      </c>
      <c r="J1" s="3" t="s">
        <v>862</v>
      </c>
      <c r="K1" s="3" t="s">
        <v>863</v>
      </c>
      <c r="L1" s="3" t="s">
        <v>864</v>
      </c>
      <c r="M1" s="4" t="s">
        <v>749</v>
      </c>
      <c r="N1" s="4" t="s">
        <v>750</v>
      </c>
      <c r="O1" s="4" t="s">
        <v>751</v>
      </c>
      <c r="P1" s="5" t="s">
        <v>865</v>
      </c>
      <c r="Q1" s="5" t="s">
        <v>866</v>
      </c>
      <c r="R1" s="5" t="s">
        <v>867</v>
      </c>
      <c r="S1" s="6" t="s">
        <v>846</v>
      </c>
      <c r="T1" s="6" t="s">
        <v>847</v>
      </c>
      <c r="U1" s="6" t="s">
        <v>848</v>
      </c>
      <c r="V1" s="6" t="s">
        <v>868</v>
      </c>
      <c r="W1" s="6" t="s">
        <v>869</v>
      </c>
      <c r="X1" s="6" t="s">
        <v>870</v>
      </c>
      <c r="Y1" s="1" t="s">
        <v>871</v>
      </c>
    </row>
    <row r="2" spans="1:30" s="49" customFormat="1" ht="19">
      <c r="A2" s="44" t="s">
        <v>827</v>
      </c>
      <c r="B2" s="51">
        <v>0.5</v>
      </c>
      <c r="C2" s="45"/>
      <c r="D2" s="45"/>
      <c r="E2" s="45"/>
      <c r="F2" s="46"/>
      <c r="G2" s="47"/>
      <c r="H2" s="46"/>
      <c r="I2" s="46"/>
      <c r="J2" s="307">
        <v>21</v>
      </c>
      <c r="K2" s="308"/>
      <c r="L2" s="309"/>
      <c r="M2" s="298">
        <v>10</v>
      </c>
      <c r="N2" s="299"/>
      <c r="O2" s="300"/>
      <c r="P2" s="301">
        <v>8</v>
      </c>
      <c r="Q2" s="302"/>
      <c r="R2" s="303"/>
      <c r="S2" s="304">
        <v>40</v>
      </c>
      <c r="T2" s="305"/>
      <c r="U2" s="306"/>
      <c r="V2" s="283">
        <v>5</v>
      </c>
      <c r="W2" s="284"/>
      <c r="X2" s="285"/>
      <c r="Y2" s="48">
        <v>9</v>
      </c>
      <c r="Z2" s="48">
        <v>0</v>
      </c>
      <c r="AA2" s="48">
        <v>0</v>
      </c>
      <c r="AB2" s="48">
        <v>0</v>
      </c>
      <c r="AC2" s="48">
        <v>0</v>
      </c>
    </row>
    <row r="3" spans="1:30" s="49" customFormat="1" ht="19">
      <c r="A3" s="44" t="s">
        <v>157</v>
      </c>
      <c r="B3" s="51"/>
      <c r="C3" s="45"/>
      <c r="D3" s="45"/>
      <c r="E3" s="45"/>
      <c r="F3" s="46"/>
      <c r="G3" s="47"/>
      <c r="H3" s="46"/>
      <c r="I3" s="46"/>
      <c r="J3" s="225"/>
      <c r="K3" s="226"/>
      <c r="L3" s="227"/>
      <c r="M3" s="216"/>
      <c r="N3" s="217"/>
      <c r="O3" s="218"/>
      <c r="P3" s="219"/>
      <c r="Q3" s="220"/>
      <c r="R3" s="221"/>
      <c r="S3" s="222"/>
      <c r="T3" s="223"/>
      <c r="U3" s="224"/>
      <c r="V3" s="213"/>
      <c r="W3" s="214"/>
      <c r="X3" s="215"/>
      <c r="Y3" s="48"/>
      <c r="Z3" s="48"/>
      <c r="AA3" s="48"/>
      <c r="AB3" s="48"/>
      <c r="AC3" s="48"/>
      <c r="AD3" s="58"/>
    </row>
    <row r="4" spans="1:30">
      <c r="A4" s="7" t="s">
        <v>849</v>
      </c>
      <c r="B4" s="8">
        <f t="shared" ref="B4:B6" si="0">C4*(1+$B$2)</f>
        <v>6.375</v>
      </c>
      <c r="C4" s="8">
        <f t="shared" ref="C4:C38" si="1">AVERAGE(D4:E4)</f>
        <v>4.25</v>
      </c>
      <c r="D4" s="8">
        <v>4</v>
      </c>
      <c r="E4" s="8">
        <v>4.5</v>
      </c>
      <c r="F4" s="22">
        <v>50</v>
      </c>
      <c r="G4" s="36">
        <f>(J4*$J$2)+(M4*$M$2)+(P4*$P$2)+(S4*$S$2)+(V4*$V$2)+(Y4*$Y$2)+(Z4*$Z$2)+(AA4*$AA$2)+(AB4*$AB$2)+(AC4*$AC$2)</f>
        <v>36</v>
      </c>
      <c r="H4" s="22">
        <f t="shared" ref="H4:H6" si="2">SUM(F4,-G4)</f>
        <v>14</v>
      </c>
      <c r="I4" s="22" t="s">
        <v>765</v>
      </c>
      <c r="K4" s="14">
        <f t="shared" ref="K4:K38" si="3">J4*C4</f>
        <v>0</v>
      </c>
      <c r="L4" s="14">
        <f t="shared" ref="L4:L38" si="4">J4*B4</f>
        <v>0</v>
      </c>
      <c r="N4" s="15">
        <f t="shared" ref="N4:N38" si="5">M4*C4</f>
        <v>0</v>
      </c>
      <c r="O4" s="15">
        <f t="shared" ref="O4:O38" si="6">M4*B4</f>
        <v>0</v>
      </c>
      <c r="Q4" s="16">
        <f t="shared" ref="Q4:Q38" si="7">P4*C4</f>
        <v>0</v>
      </c>
      <c r="R4" s="16">
        <f t="shared" ref="R4:R38" si="8">P4*B4</f>
        <v>0</v>
      </c>
      <c r="T4" s="17">
        <f t="shared" ref="T4:T38" si="9">S4*C4</f>
        <v>0</v>
      </c>
      <c r="U4" s="17">
        <f t="shared" ref="U4:U38" si="10">S4*B4</f>
        <v>0</v>
      </c>
      <c r="V4" s="39"/>
      <c r="W4" s="38">
        <f>V4*C4</f>
        <v>0</v>
      </c>
      <c r="X4" s="38">
        <f>V4*B4</f>
        <v>0</v>
      </c>
      <c r="Y4" s="7">
        <v>4</v>
      </c>
    </row>
    <row r="5" spans="1:30">
      <c r="A5" s="7" t="s">
        <v>860</v>
      </c>
      <c r="B5" s="8">
        <f t="shared" si="0"/>
        <v>6</v>
      </c>
      <c r="C5" s="8">
        <f t="shared" si="1"/>
        <v>4</v>
      </c>
      <c r="D5" s="8">
        <v>4</v>
      </c>
      <c r="E5" s="8">
        <v>4</v>
      </c>
      <c r="G5" s="36">
        <f t="shared" ref="G5:G48" si="11">(J5*$J$2)+(M5*$M$2)+(P5*$P$2)+(S5*$S$2)+(V5*$V$2)+(Y5*$Y$2)+(Z5*$Z$2)+(AA5*$AA$2)+(AB5*$AB$2)+(AC5*$AC$2)</f>
        <v>0</v>
      </c>
      <c r="H5" s="22">
        <f t="shared" si="2"/>
        <v>0</v>
      </c>
      <c r="I5" s="22" t="s">
        <v>765</v>
      </c>
      <c r="K5" s="14">
        <f t="shared" si="3"/>
        <v>0</v>
      </c>
      <c r="L5" s="14">
        <f t="shared" si="4"/>
        <v>0</v>
      </c>
      <c r="N5" s="15">
        <f t="shared" si="5"/>
        <v>0</v>
      </c>
      <c r="O5" s="15">
        <f t="shared" si="6"/>
        <v>0</v>
      </c>
      <c r="Q5" s="16">
        <f t="shared" si="7"/>
        <v>0</v>
      </c>
      <c r="R5" s="16">
        <f t="shared" si="8"/>
        <v>0</v>
      </c>
      <c r="T5" s="17">
        <f t="shared" si="9"/>
        <v>0</v>
      </c>
      <c r="U5" s="17">
        <f t="shared" si="10"/>
        <v>0</v>
      </c>
      <c r="V5" s="39"/>
      <c r="W5" s="38">
        <f>V5*C5</f>
        <v>0</v>
      </c>
      <c r="X5" s="38">
        <f>V5*B5</f>
        <v>0</v>
      </c>
      <c r="Y5" s="7"/>
    </row>
    <row r="6" spans="1:30">
      <c r="A6" s="7" t="s">
        <v>850</v>
      </c>
      <c r="B6" s="8">
        <f t="shared" si="0"/>
        <v>5.8125</v>
      </c>
      <c r="C6" s="8">
        <f t="shared" si="1"/>
        <v>3.875</v>
      </c>
      <c r="D6" s="8">
        <v>4</v>
      </c>
      <c r="E6" s="8">
        <v>3.75</v>
      </c>
      <c r="G6" s="36">
        <f t="shared" si="11"/>
        <v>9</v>
      </c>
      <c r="H6" s="22">
        <f t="shared" si="2"/>
        <v>-9</v>
      </c>
      <c r="I6" s="22" t="s">
        <v>765</v>
      </c>
      <c r="K6" s="14">
        <f t="shared" si="3"/>
        <v>0</v>
      </c>
      <c r="L6" s="14">
        <f t="shared" si="4"/>
        <v>0</v>
      </c>
      <c r="N6" s="15">
        <f t="shared" si="5"/>
        <v>0</v>
      </c>
      <c r="O6" s="15">
        <f t="shared" si="6"/>
        <v>0</v>
      </c>
      <c r="Q6" s="16">
        <f t="shared" si="7"/>
        <v>0</v>
      </c>
      <c r="R6" s="16">
        <f t="shared" si="8"/>
        <v>0</v>
      </c>
      <c r="T6" s="17">
        <f t="shared" si="9"/>
        <v>0</v>
      </c>
      <c r="U6" s="17">
        <f t="shared" si="10"/>
        <v>0</v>
      </c>
      <c r="V6" s="39"/>
      <c r="W6" s="38">
        <f t="shared" ref="W6:W38" si="12">V6*C6</f>
        <v>0</v>
      </c>
      <c r="X6" s="38">
        <f t="shared" ref="X6:X38" si="13">V6*B6</f>
        <v>0</v>
      </c>
      <c r="Y6" s="7">
        <v>1</v>
      </c>
    </row>
    <row r="7" spans="1:30">
      <c r="A7" s="7" t="s">
        <v>852</v>
      </c>
      <c r="B7" s="8">
        <f>C7*(1+$B$2)</f>
        <v>5.625</v>
      </c>
      <c r="C7" s="8">
        <f>AVERAGE(D7:E7)</f>
        <v>3.75</v>
      </c>
      <c r="D7" s="8">
        <v>4</v>
      </c>
      <c r="E7" s="8">
        <v>3.5</v>
      </c>
      <c r="F7" s="22">
        <v>200</v>
      </c>
      <c r="G7" s="36">
        <f t="shared" si="11"/>
        <v>149.5</v>
      </c>
      <c r="H7" s="22">
        <f>SUM(F7,-G7)</f>
        <v>50.5</v>
      </c>
      <c r="I7" s="22" t="s">
        <v>765</v>
      </c>
      <c r="J7" s="9">
        <v>0.5</v>
      </c>
      <c r="K7" s="14">
        <f>J7*C7</f>
        <v>1.875</v>
      </c>
      <c r="L7" s="14">
        <f>J7*B7</f>
        <v>2.8125</v>
      </c>
      <c r="M7" s="10">
        <v>1</v>
      </c>
      <c r="N7" s="15">
        <f>M7*C7</f>
        <v>3.75</v>
      </c>
      <c r="O7" s="15">
        <f>M7*B7</f>
        <v>5.625</v>
      </c>
      <c r="Q7" s="16">
        <f>P7*C7</f>
        <v>0</v>
      </c>
      <c r="R7" s="16">
        <f>P7*B7</f>
        <v>0</v>
      </c>
      <c r="S7" s="12">
        <v>3</v>
      </c>
      <c r="T7" s="17">
        <f>S7*C7</f>
        <v>11.25</v>
      </c>
      <c r="U7" s="17">
        <f>S7*B7</f>
        <v>16.875</v>
      </c>
      <c r="V7" s="39"/>
      <c r="W7" s="38">
        <f>V7*C7</f>
        <v>0</v>
      </c>
      <c r="X7" s="38">
        <f>V7*B7</f>
        <v>0</v>
      </c>
      <c r="Y7" s="7">
        <v>1</v>
      </c>
    </row>
    <row r="8" spans="1:30">
      <c r="A8" s="7" t="s">
        <v>851</v>
      </c>
      <c r="B8" s="8">
        <f>C8*(1+$B$2)</f>
        <v>6</v>
      </c>
      <c r="C8" s="8">
        <f>AVERAGE(D8:E8)</f>
        <v>4</v>
      </c>
      <c r="D8" s="8">
        <v>4</v>
      </c>
      <c r="E8" s="8">
        <v>4</v>
      </c>
      <c r="F8" s="22">
        <v>150</v>
      </c>
      <c r="G8" s="36">
        <f t="shared" si="11"/>
        <v>100.5</v>
      </c>
      <c r="H8" s="22">
        <f>SUM(F8,-G8)</f>
        <v>49.5</v>
      </c>
      <c r="I8" s="22" t="s">
        <v>765</v>
      </c>
      <c r="J8" s="9">
        <v>0.5</v>
      </c>
      <c r="K8" s="14">
        <f>J8*C8</f>
        <v>2</v>
      </c>
      <c r="L8" s="14">
        <f>J8*B8</f>
        <v>3</v>
      </c>
      <c r="M8" s="10">
        <v>1</v>
      </c>
      <c r="N8" s="15">
        <f>M8*C8</f>
        <v>4</v>
      </c>
      <c r="O8" s="15">
        <f>M8*B8</f>
        <v>6</v>
      </c>
      <c r="Q8" s="16">
        <f>P8*C8</f>
        <v>0</v>
      </c>
      <c r="R8" s="16">
        <f>P8*B8</f>
        <v>0</v>
      </c>
      <c r="S8" s="12">
        <v>2</v>
      </c>
      <c r="T8" s="17">
        <f>S8*C8</f>
        <v>8</v>
      </c>
      <c r="U8" s="17">
        <f>S8*B8</f>
        <v>12</v>
      </c>
      <c r="V8" s="39"/>
      <c r="W8" s="38">
        <f>V8*C8</f>
        <v>0</v>
      </c>
      <c r="X8" s="38">
        <f>V8*B8</f>
        <v>0</v>
      </c>
      <c r="Y8" s="7"/>
    </row>
    <row r="9" spans="1:30">
      <c r="J9" s="62"/>
    </row>
    <row r="10" spans="1:30" ht="19">
      <c r="A10" s="44" t="s">
        <v>731</v>
      </c>
      <c r="J10" s="310" t="s">
        <v>872</v>
      </c>
      <c r="K10" s="311"/>
      <c r="L10" s="311"/>
      <c r="M10" s="311"/>
      <c r="N10" s="311"/>
      <c r="O10" s="312"/>
      <c r="Q10" s="16"/>
      <c r="R10" s="16"/>
      <c r="T10" s="17"/>
      <c r="U10" s="17"/>
      <c r="V10" s="39"/>
      <c r="W10" s="38"/>
      <c r="X10" s="38"/>
      <c r="Y10" s="7"/>
    </row>
    <row r="11" spans="1:30">
      <c r="A11" s="7" t="s">
        <v>873</v>
      </c>
      <c r="B11" s="8">
        <f>C11*(1+$B$2)</f>
        <v>1.9500000000000002</v>
      </c>
      <c r="C11" s="8">
        <f>AVERAGE(D11:E11)</f>
        <v>1.3</v>
      </c>
      <c r="E11" s="8">
        <v>1.3</v>
      </c>
      <c r="F11" s="22">
        <v>50</v>
      </c>
      <c r="G11" s="36">
        <f t="shared" si="11"/>
        <v>51</v>
      </c>
      <c r="H11" s="22">
        <f>SUM(F11,-G11)</f>
        <v>-1</v>
      </c>
      <c r="J11" s="9">
        <v>1</v>
      </c>
      <c r="K11" s="14">
        <f>J11*C11</f>
        <v>1.3</v>
      </c>
      <c r="L11" s="14">
        <f>J11*B11</f>
        <v>1.9500000000000002</v>
      </c>
      <c r="M11" s="10">
        <v>1</v>
      </c>
      <c r="N11" s="15">
        <f>M11*C11</f>
        <v>1.3</v>
      </c>
      <c r="O11" s="15">
        <f>M11*B11</f>
        <v>1.9500000000000002</v>
      </c>
      <c r="Q11" s="16">
        <f>P11*C11</f>
        <v>0</v>
      </c>
      <c r="R11" s="16">
        <f>P11*B11</f>
        <v>0</v>
      </c>
      <c r="T11" s="17">
        <f>S11*C11</f>
        <v>0</v>
      </c>
      <c r="U11" s="17">
        <f>S11*B11</f>
        <v>0</v>
      </c>
      <c r="V11" s="39">
        <v>4</v>
      </c>
      <c r="W11" s="38">
        <f>V11*C11</f>
        <v>5.2</v>
      </c>
      <c r="X11" s="38">
        <f>V11*B11</f>
        <v>7.8000000000000007</v>
      </c>
      <c r="Y11" s="7"/>
    </row>
    <row r="12" spans="1:30">
      <c r="A12" s="7" t="s">
        <v>861</v>
      </c>
      <c r="B12" s="8">
        <f>C12*(1+$B$2)</f>
        <v>2.25</v>
      </c>
      <c r="C12" s="8">
        <f>AVERAGE(D12:E12)</f>
        <v>1.5</v>
      </c>
      <c r="D12" s="8">
        <v>1.5</v>
      </c>
      <c r="E12" s="8">
        <v>1.5</v>
      </c>
      <c r="F12" s="22">
        <v>130</v>
      </c>
      <c r="G12" s="36" t="e">
        <f t="shared" si="11"/>
        <v>#VALUE!</v>
      </c>
      <c r="H12" s="22" t="e">
        <f>SUM(F12,-G12)</f>
        <v>#VALUE!</v>
      </c>
      <c r="J12" s="9">
        <v>1</v>
      </c>
      <c r="K12" s="14">
        <f>J12*C12</f>
        <v>1.5</v>
      </c>
      <c r="L12" s="14">
        <f>J12*B12</f>
        <v>2.25</v>
      </c>
      <c r="M12" s="10">
        <v>1</v>
      </c>
      <c r="N12" s="15">
        <f>M12*C12</f>
        <v>1.5</v>
      </c>
      <c r="O12" s="15">
        <f>M12*B12</f>
        <v>2.25</v>
      </c>
      <c r="P12" s="11" t="s">
        <v>874</v>
      </c>
      <c r="Q12" s="16" t="e">
        <f>P12*C12</f>
        <v>#VALUE!</v>
      </c>
      <c r="R12" s="16" t="e">
        <f>P12*B12</f>
        <v>#VALUE!</v>
      </c>
      <c r="T12" s="17">
        <f>S12*C12</f>
        <v>0</v>
      </c>
      <c r="U12" s="17">
        <f>S12*B12</f>
        <v>0</v>
      </c>
      <c r="V12" s="39"/>
      <c r="W12" s="38">
        <f>V12*C12</f>
        <v>0</v>
      </c>
      <c r="X12" s="38">
        <f>V12*B12</f>
        <v>0</v>
      </c>
      <c r="Y12" s="7">
        <v>3</v>
      </c>
    </row>
    <row r="13" spans="1:30">
      <c r="A13" s="7" t="s">
        <v>768</v>
      </c>
      <c r="B13" s="8">
        <f>C13*(1+$B$2)</f>
        <v>2.4749999999999996</v>
      </c>
      <c r="C13" s="8">
        <f>AVERAGE(D13:E13)</f>
        <v>1.65</v>
      </c>
      <c r="D13" s="8">
        <v>1.5</v>
      </c>
      <c r="E13" s="8">
        <v>1.8</v>
      </c>
      <c r="G13" s="36">
        <f t="shared" si="11"/>
        <v>45</v>
      </c>
      <c r="H13" s="22">
        <f>SUM(F13,-G13)</f>
        <v>-45</v>
      </c>
      <c r="K13" s="14">
        <f>J13*C13</f>
        <v>0</v>
      </c>
      <c r="L13" s="14">
        <f>J13*B13</f>
        <v>0</v>
      </c>
      <c r="N13" s="15">
        <f>M13*C13</f>
        <v>0</v>
      </c>
      <c r="O13" s="15">
        <f>M13*B13</f>
        <v>0</v>
      </c>
      <c r="Q13" s="16">
        <f>P13*C13</f>
        <v>0</v>
      </c>
      <c r="R13" s="16">
        <f>P13*B13</f>
        <v>0</v>
      </c>
      <c r="T13" s="17">
        <f>S13*C13</f>
        <v>0</v>
      </c>
      <c r="U13" s="17">
        <f>S13*B13</f>
        <v>0</v>
      </c>
      <c r="V13" s="39"/>
      <c r="W13" s="38">
        <f>V13*C13</f>
        <v>0</v>
      </c>
      <c r="X13" s="38">
        <f>V13*B13</f>
        <v>0</v>
      </c>
      <c r="Y13" s="7">
        <v>5</v>
      </c>
    </row>
    <row r="14" spans="1:30">
      <c r="A14" s="7" t="s">
        <v>875</v>
      </c>
      <c r="B14" s="8">
        <f t="shared" ref="B14:B19" si="14">C14*(1+$B$2)</f>
        <v>1.5750000000000002</v>
      </c>
      <c r="C14" s="8">
        <f t="shared" ref="C14" si="15">AVERAGE(D14:E14)</f>
        <v>1.05</v>
      </c>
      <c r="D14" s="8">
        <v>1.1000000000000001</v>
      </c>
      <c r="E14" s="8">
        <v>1</v>
      </c>
      <c r="F14" s="22">
        <v>64</v>
      </c>
      <c r="G14" s="36">
        <f t="shared" si="11"/>
        <v>24.5</v>
      </c>
      <c r="H14" s="22">
        <f t="shared" ref="H14" si="16">SUM(F14,-G14)</f>
        <v>39.5</v>
      </c>
      <c r="J14" s="9">
        <v>0.5</v>
      </c>
      <c r="K14" s="14">
        <f t="shared" ref="K14" si="17">J14*C14</f>
        <v>0.52500000000000002</v>
      </c>
      <c r="L14" s="14">
        <f t="shared" ref="L14" si="18">J14*B14</f>
        <v>0.78750000000000009</v>
      </c>
      <c r="M14" s="10">
        <v>0.5</v>
      </c>
      <c r="N14" s="15">
        <f t="shared" ref="N14" si="19">M14*C14</f>
        <v>0.52500000000000002</v>
      </c>
      <c r="O14" s="15">
        <f t="shared" ref="O14" si="20">M14*B14</f>
        <v>0.78750000000000009</v>
      </c>
      <c r="Q14" s="16">
        <f t="shared" ref="Q14" si="21">P14*C14</f>
        <v>0</v>
      </c>
      <c r="R14" s="16">
        <f t="shared" ref="R14" si="22">P14*B14</f>
        <v>0</v>
      </c>
      <c r="T14" s="17">
        <f t="shared" ref="T14" si="23">S14*C14</f>
        <v>0</v>
      </c>
      <c r="U14" s="17">
        <f t="shared" ref="U14" si="24">S14*B14</f>
        <v>0</v>
      </c>
      <c r="V14" s="39"/>
      <c r="W14" s="38">
        <f t="shared" ref="W14" si="25">V14*C14</f>
        <v>0</v>
      </c>
      <c r="X14" s="38">
        <f t="shared" ref="X14" si="26">V14*B14</f>
        <v>0</v>
      </c>
      <c r="Y14" s="7">
        <v>1</v>
      </c>
    </row>
    <row r="15" spans="1:30">
      <c r="A15" s="7" t="s">
        <v>876</v>
      </c>
      <c r="B15" s="8">
        <f t="shared" si="14"/>
        <v>1.6500000000000001</v>
      </c>
      <c r="C15" s="8">
        <f t="shared" ref="C15:C19" si="27">AVERAGE(D15:E15)</f>
        <v>1.1000000000000001</v>
      </c>
      <c r="D15" s="13">
        <v>1.1000000000000001</v>
      </c>
      <c r="F15" s="22">
        <v>10</v>
      </c>
      <c r="G15" s="36">
        <f t="shared" si="11"/>
        <v>10</v>
      </c>
      <c r="H15" s="22">
        <f t="shared" ref="H15:H19" si="28">SUM(F15,-G15)</f>
        <v>0</v>
      </c>
      <c r="J15" s="9">
        <v>0</v>
      </c>
      <c r="K15" s="14">
        <f t="shared" ref="K15:K19" si="29">J15*C15</f>
        <v>0</v>
      </c>
      <c r="L15" s="14">
        <f t="shared" ref="L15:L19" si="30">J15*B15</f>
        <v>0</v>
      </c>
      <c r="M15" s="10">
        <v>1</v>
      </c>
      <c r="N15" s="15">
        <f t="shared" ref="N15:N19" si="31">M15*C15</f>
        <v>1.1000000000000001</v>
      </c>
      <c r="O15" s="15">
        <f t="shared" ref="O15:O19" si="32">M15*B15</f>
        <v>1.6500000000000001</v>
      </c>
      <c r="Q15" s="16">
        <f t="shared" ref="Q15:Q19" si="33">P15*C15</f>
        <v>0</v>
      </c>
      <c r="R15" s="16">
        <f t="shared" ref="R15:R19" si="34">P15*B15</f>
        <v>0</v>
      </c>
      <c r="T15" s="17">
        <f t="shared" ref="T15:T19" si="35">S15*C15</f>
        <v>0</v>
      </c>
      <c r="U15" s="17">
        <f t="shared" ref="U15:U19" si="36">S15*B15</f>
        <v>0</v>
      </c>
      <c r="V15" s="39"/>
      <c r="W15" s="38">
        <f t="shared" ref="W15:W19" si="37">V15*C15</f>
        <v>0</v>
      </c>
      <c r="X15" s="38">
        <f t="shared" ref="X15:X19" si="38">V15*B15</f>
        <v>0</v>
      </c>
      <c r="Y15" s="7"/>
    </row>
    <row r="16" spans="1:30">
      <c r="A16" s="7" t="s">
        <v>877</v>
      </c>
      <c r="B16" s="8">
        <f t="shared" si="14"/>
        <v>1.6500000000000001</v>
      </c>
      <c r="C16" s="8">
        <f t="shared" si="27"/>
        <v>1.1000000000000001</v>
      </c>
      <c r="D16" s="13">
        <v>1.1000000000000001</v>
      </c>
      <c r="F16" s="22">
        <v>33</v>
      </c>
      <c r="G16" s="36">
        <f t="shared" si="11"/>
        <v>24.5</v>
      </c>
      <c r="H16" s="22">
        <f t="shared" si="28"/>
        <v>8.5</v>
      </c>
      <c r="J16" s="9">
        <v>0.5</v>
      </c>
      <c r="K16" s="14">
        <f t="shared" si="29"/>
        <v>0.55000000000000004</v>
      </c>
      <c r="L16" s="14">
        <f t="shared" si="30"/>
        <v>0.82500000000000007</v>
      </c>
      <c r="M16" s="10">
        <v>0.5</v>
      </c>
      <c r="N16" s="15">
        <f t="shared" si="31"/>
        <v>0.55000000000000004</v>
      </c>
      <c r="O16" s="15">
        <f t="shared" si="32"/>
        <v>0.82500000000000007</v>
      </c>
      <c r="Q16" s="16">
        <f t="shared" si="33"/>
        <v>0</v>
      </c>
      <c r="R16" s="16">
        <f t="shared" si="34"/>
        <v>0</v>
      </c>
      <c r="T16" s="17">
        <f t="shared" si="35"/>
        <v>0</v>
      </c>
      <c r="U16" s="17">
        <f t="shared" si="36"/>
        <v>0</v>
      </c>
      <c r="V16" s="39"/>
      <c r="W16" s="38">
        <f t="shared" si="37"/>
        <v>0</v>
      </c>
      <c r="X16" s="38">
        <f t="shared" si="38"/>
        <v>0</v>
      </c>
      <c r="Y16" s="7">
        <v>1</v>
      </c>
    </row>
    <row r="17" spans="1:25" ht="19">
      <c r="A17" s="44" t="s">
        <v>734</v>
      </c>
      <c r="K17" s="14"/>
      <c r="L17" s="14"/>
      <c r="M17" s="313" t="s">
        <v>878</v>
      </c>
      <c r="N17" s="314"/>
      <c r="O17" s="315"/>
      <c r="Q17" s="16"/>
      <c r="R17" s="16"/>
      <c r="T17" s="17"/>
      <c r="U17" s="17"/>
      <c r="V17" s="319" t="s">
        <v>879</v>
      </c>
      <c r="W17" s="320"/>
      <c r="X17" s="321"/>
      <c r="Y17" s="7"/>
    </row>
    <row r="18" spans="1:25">
      <c r="A18" s="7" t="s">
        <v>770</v>
      </c>
      <c r="B18" s="8">
        <f t="shared" si="14"/>
        <v>2.0999999999999996</v>
      </c>
      <c r="C18" s="8">
        <f t="shared" ref="C18" si="39">AVERAGE(D18:E18)</f>
        <v>1.4</v>
      </c>
      <c r="D18" s="8">
        <v>1.4</v>
      </c>
      <c r="F18" s="22">
        <v>130</v>
      </c>
      <c r="G18" s="36">
        <f t="shared" si="11"/>
        <v>58.1</v>
      </c>
      <c r="H18" s="22">
        <f t="shared" ref="H18" si="40">SUM(F18,-G18)</f>
        <v>71.900000000000006</v>
      </c>
      <c r="J18" s="9">
        <v>1</v>
      </c>
      <c r="K18" s="14">
        <f t="shared" ref="K18" si="41">J18*C18</f>
        <v>1.4</v>
      </c>
      <c r="L18" s="14">
        <f t="shared" ref="L18" si="42">J18*B18</f>
        <v>2.0999999999999996</v>
      </c>
      <c r="M18" s="10">
        <v>0.66</v>
      </c>
      <c r="N18" s="15">
        <f t="shared" ref="N18" si="43">M18*C18</f>
        <v>0.92399999999999993</v>
      </c>
      <c r="O18" s="15">
        <f t="shared" ref="O18" si="44">M18*B18</f>
        <v>1.3859999999999999</v>
      </c>
      <c r="Q18" s="16">
        <f t="shared" ref="Q18" si="45">P18*C18</f>
        <v>0</v>
      </c>
      <c r="R18" s="16">
        <f t="shared" ref="R18" si="46">P18*B18</f>
        <v>0</v>
      </c>
      <c r="T18" s="17">
        <f t="shared" ref="T18" si="47">S18*C18</f>
        <v>0</v>
      </c>
      <c r="U18" s="17">
        <f t="shared" ref="U18" si="48">S18*B18</f>
        <v>0</v>
      </c>
      <c r="V18" s="39">
        <v>2.5</v>
      </c>
      <c r="W18" s="38">
        <f t="shared" ref="W18" si="49">V18*C18</f>
        <v>3.5</v>
      </c>
      <c r="X18" s="38">
        <f t="shared" ref="X18" si="50">V18*B18</f>
        <v>5.2499999999999991</v>
      </c>
      <c r="Y18" s="7">
        <v>2</v>
      </c>
    </row>
    <row r="19" spans="1:25">
      <c r="A19" s="7" t="s">
        <v>771</v>
      </c>
      <c r="B19" s="8">
        <f t="shared" si="14"/>
        <v>2.9249999999999998</v>
      </c>
      <c r="C19" s="8">
        <f t="shared" si="27"/>
        <v>1.95</v>
      </c>
      <c r="D19" s="8">
        <v>1.4</v>
      </c>
      <c r="E19" s="8">
        <v>2.5</v>
      </c>
      <c r="G19" s="36">
        <f t="shared" si="11"/>
        <v>0</v>
      </c>
      <c r="H19" s="22">
        <f t="shared" si="28"/>
        <v>0</v>
      </c>
      <c r="K19" s="14">
        <f t="shared" si="29"/>
        <v>0</v>
      </c>
      <c r="L19" s="14">
        <f t="shared" si="30"/>
        <v>0</v>
      </c>
      <c r="N19" s="15">
        <f t="shared" si="31"/>
        <v>0</v>
      </c>
      <c r="O19" s="15">
        <f t="shared" si="32"/>
        <v>0</v>
      </c>
      <c r="Q19" s="16">
        <f t="shared" si="33"/>
        <v>0</v>
      </c>
      <c r="R19" s="16">
        <f t="shared" si="34"/>
        <v>0</v>
      </c>
      <c r="T19" s="17">
        <f t="shared" si="35"/>
        <v>0</v>
      </c>
      <c r="U19" s="17">
        <f t="shared" si="36"/>
        <v>0</v>
      </c>
      <c r="V19" s="39"/>
      <c r="W19" s="38">
        <f t="shared" si="37"/>
        <v>0</v>
      </c>
      <c r="X19" s="38">
        <f t="shared" si="38"/>
        <v>0</v>
      </c>
      <c r="Y19" s="7"/>
    </row>
    <row r="20" spans="1:25">
      <c r="A20" s="7" t="s">
        <v>772</v>
      </c>
      <c r="B20" s="8">
        <f>C20*(1+$B$2)</f>
        <v>2.5499999999999998</v>
      </c>
      <c r="C20" s="8">
        <f>AVERAGE(D20:E20)</f>
        <v>1.7</v>
      </c>
      <c r="D20" s="8">
        <v>1.5</v>
      </c>
      <c r="E20" s="8">
        <v>1.9</v>
      </c>
      <c r="F20" s="22">
        <v>4</v>
      </c>
      <c r="G20" s="36">
        <f t="shared" si="11"/>
        <v>0</v>
      </c>
      <c r="H20" s="22">
        <f>SUM(F20,-G20)</f>
        <v>4</v>
      </c>
      <c r="K20" s="14">
        <f>J20*C20</f>
        <v>0</v>
      </c>
      <c r="L20" s="14">
        <f>J20*B20</f>
        <v>0</v>
      </c>
      <c r="N20" s="15">
        <f>M20*C20</f>
        <v>0</v>
      </c>
      <c r="O20" s="15">
        <f>M20*B20</f>
        <v>0</v>
      </c>
      <c r="Q20" s="16">
        <f>P20*C20</f>
        <v>0</v>
      </c>
      <c r="R20" s="16">
        <f>P20*B20</f>
        <v>0</v>
      </c>
      <c r="T20" s="17">
        <f>S20*C20</f>
        <v>0</v>
      </c>
      <c r="U20" s="17">
        <f>S20*B20</f>
        <v>0</v>
      </c>
      <c r="V20" s="39"/>
      <c r="W20" s="38">
        <f>V20*C20</f>
        <v>0</v>
      </c>
      <c r="X20" s="38">
        <f>V20*B20</f>
        <v>0</v>
      </c>
      <c r="Y20" s="7"/>
    </row>
    <row r="21" spans="1:25">
      <c r="A21" s="7" t="s">
        <v>773</v>
      </c>
      <c r="B21" s="8">
        <f>C21*(1+$B$2)</f>
        <v>1.5</v>
      </c>
      <c r="C21" s="8">
        <f>AVERAGE(D21:E21)</f>
        <v>1</v>
      </c>
      <c r="D21" s="13">
        <v>1</v>
      </c>
      <c r="F21" s="22">
        <v>80</v>
      </c>
      <c r="G21" s="36">
        <f t="shared" si="11"/>
        <v>58</v>
      </c>
      <c r="H21" s="22">
        <f>SUM(F21,-G21)</f>
        <v>22</v>
      </c>
      <c r="K21" s="14">
        <f>J21*C21</f>
        <v>0</v>
      </c>
      <c r="L21" s="14">
        <f>J21*B21</f>
        <v>0</v>
      </c>
      <c r="N21" s="15">
        <f>M21*C21</f>
        <v>0</v>
      </c>
      <c r="O21" s="15">
        <f>M21*B21</f>
        <v>0</v>
      </c>
      <c r="P21" s="11">
        <v>6</v>
      </c>
      <c r="Q21" s="16">
        <f>P21*C21</f>
        <v>6</v>
      </c>
      <c r="R21" s="16">
        <f>P21*B21</f>
        <v>9</v>
      </c>
      <c r="T21" s="17">
        <f>S21*C21</f>
        <v>0</v>
      </c>
      <c r="U21" s="17">
        <f>S21*B21</f>
        <v>0</v>
      </c>
      <c r="V21" s="39">
        <v>2</v>
      </c>
      <c r="W21" s="38">
        <f>V21*C21</f>
        <v>2</v>
      </c>
      <c r="X21" s="38">
        <f>V21*B21</f>
        <v>3</v>
      </c>
      <c r="Y21" s="7"/>
    </row>
    <row r="22" spans="1:25">
      <c r="A22" s="7" t="s">
        <v>774</v>
      </c>
      <c r="B22" s="8">
        <f>C22*(1+$B$2)</f>
        <v>1.125</v>
      </c>
      <c r="C22" s="8">
        <f>AVERAGE(D22:E22)</f>
        <v>0.75</v>
      </c>
      <c r="D22" s="8">
        <v>0.75</v>
      </c>
      <c r="F22" s="22">
        <v>120</v>
      </c>
      <c r="G22" s="36">
        <f t="shared" si="11"/>
        <v>105</v>
      </c>
      <c r="H22" s="22">
        <f>SUM(F22,-G22)</f>
        <v>15</v>
      </c>
      <c r="J22" s="9">
        <v>1</v>
      </c>
      <c r="K22" s="14">
        <f>J22*C22</f>
        <v>0.75</v>
      </c>
      <c r="L22" s="14">
        <f>J22*B22</f>
        <v>1.125</v>
      </c>
      <c r="M22" s="10">
        <v>2</v>
      </c>
      <c r="N22" s="15">
        <f>M22*C22</f>
        <v>1.5</v>
      </c>
      <c r="O22" s="15">
        <f>M22*B22</f>
        <v>2.25</v>
      </c>
      <c r="P22" s="11">
        <v>4</v>
      </c>
      <c r="Q22" s="16">
        <f>P22*C22</f>
        <v>3</v>
      </c>
      <c r="R22" s="16">
        <f>P22*B22</f>
        <v>4.5</v>
      </c>
      <c r="T22" s="17">
        <f>S22*C22</f>
        <v>0</v>
      </c>
      <c r="U22" s="17">
        <f>S22*B22</f>
        <v>0</v>
      </c>
      <c r="V22" s="39">
        <v>1</v>
      </c>
      <c r="W22" s="38">
        <f>V22*C22</f>
        <v>0.75</v>
      </c>
      <c r="X22" s="38">
        <f>V22*B22</f>
        <v>1.125</v>
      </c>
      <c r="Y22" s="7">
        <v>3</v>
      </c>
    </row>
    <row r="23" spans="1:25">
      <c r="A23" s="7" t="s">
        <v>775</v>
      </c>
      <c r="B23" s="8">
        <f>C23*(1+$B$2)</f>
        <v>1.875</v>
      </c>
      <c r="C23" s="8">
        <f>AVERAGE(D23:E23)</f>
        <v>1.25</v>
      </c>
      <c r="D23" s="8">
        <v>1.1000000000000001</v>
      </c>
      <c r="E23" s="8">
        <v>1.4</v>
      </c>
      <c r="F23" s="22">
        <v>9</v>
      </c>
      <c r="G23" s="36">
        <f t="shared" si="11"/>
        <v>11.100000000000001</v>
      </c>
      <c r="H23" s="22">
        <f>SUM(F23,-G23)</f>
        <v>-2.1000000000000014</v>
      </c>
      <c r="K23" s="14">
        <f>J23*C23</f>
        <v>0</v>
      </c>
      <c r="L23" s="14">
        <f>J23*B23</f>
        <v>0</v>
      </c>
      <c r="M23" s="10">
        <v>0.66</v>
      </c>
      <c r="N23" s="15">
        <f>M23*C23</f>
        <v>0.82500000000000007</v>
      </c>
      <c r="O23" s="15">
        <f>M23*B23</f>
        <v>1.2375</v>
      </c>
      <c r="Q23" s="16">
        <f>P23*C23</f>
        <v>0</v>
      </c>
      <c r="R23" s="16">
        <f>P23*B23</f>
        <v>0</v>
      </c>
      <c r="T23" s="17">
        <f>S23*C23</f>
        <v>0</v>
      </c>
      <c r="U23" s="17">
        <f>S23*B23</f>
        <v>0</v>
      </c>
      <c r="V23" s="39"/>
      <c r="W23" s="38">
        <f>V23*C23</f>
        <v>0</v>
      </c>
      <c r="X23" s="38">
        <f>V23*B23</f>
        <v>0</v>
      </c>
      <c r="Y23" s="7">
        <v>0.5</v>
      </c>
    </row>
    <row r="24" spans="1:25">
      <c r="A24" s="7" t="s">
        <v>776</v>
      </c>
      <c r="B24" s="8">
        <f t="shared" ref="B24:B26" si="51">C24*(1+$B$2)</f>
        <v>2.4000000000000004</v>
      </c>
      <c r="C24" s="8">
        <f t="shared" ref="C24:C26" si="52">AVERAGE(D24:E24)</f>
        <v>1.6</v>
      </c>
      <c r="E24" s="8">
        <v>1.6</v>
      </c>
      <c r="F24" s="22">
        <v>60</v>
      </c>
      <c r="G24" s="36">
        <f t="shared" si="11"/>
        <v>53.6</v>
      </c>
      <c r="H24" s="22">
        <f t="shared" ref="H24:H26" si="53">SUM(F24,-G24)</f>
        <v>6.3999999999999986</v>
      </c>
      <c r="J24" s="9">
        <v>1</v>
      </c>
      <c r="K24" s="14">
        <f t="shared" ref="K24:K26" si="54">J24*C24</f>
        <v>1.6</v>
      </c>
      <c r="L24" s="14">
        <f t="shared" ref="L24:L26" si="55">J24*B24</f>
        <v>2.4000000000000004</v>
      </c>
      <c r="M24" s="10">
        <v>0.66</v>
      </c>
      <c r="N24" s="15">
        <f t="shared" ref="N24:N26" si="56">M24*C24</f>
        <v>1.056</v>
      </c>
      <c r="O24" s="15">
        <f t="shared" ref="O24:O26" si="57">M24*B24</f>
        <v>1.5840000000000003</v>
      </c>
      <c r="Q24" s="16">
        <f t="shared" ref="Q24:Q26" si="58">P24*C24</f>
        <v>0</v>
      </c>
      <c r="R24" s="16">
        <f t="shared" ref="R24:R26" si="59">P24*B24</f>
        <v>0</v>
      </c>
      <c r="T24" s="17">
        <f t="shared" ref="T24:T26" si="60">S24*C24</f>
        <v>0</v>
      </c>
      <c r="U24" s="17">
        <f t="shared" ref="U24:U26" si="61">S24*B24</f>
        <v>0</v>
      </c>
      <c r="V24" s="39">
        <v>2.5</v>
      </c>
      <c r="W24" s="38">
        <f t="shared" ref="W24:W26" si="62">V24*C24</f>
        <v>4</v>
      </c>
      <c r="X24" s="38">
        <f t="shared" ref="X24:X26" si="63">V24*B24</f>
        <v>6.0000000000000009</v>
      </c>
      <c r="Y24" s="7">
        <v>1.5</v>
      </c>
    </row>
    <row r="25" spans="1:25">
      <c r="A25" s="7" t="s">
        <v>777</v>
      </c>
      <c r="B25" s="8">
        <f t="shared" si="51"/>
        <v>2.7</v>
      </c>
      <c r="C25" s="8">
        <f t="shared" si="52"/>
        <v>1.8</v>
      </c>
      <c r="E25" s="8">
        <v>1.8</v>
      </c>
      <c r="G25" s="36">
        <f t="shared" si="11"/>
        <v>0</v>
      </c>
      <c r="H25" s="22">
        <f t="shared" si="53"/>
        <v>0</v>
      </c>
      <c r="K25" s="14">
        <f t="shared" si="54"/>
        <v>0</v>
      </c>
      <c r="L25" s="14">
        <f t="shared" si="55"/>
        <v>0</v>
      </c>
      <c r="N25" s="15">
        <f t="shared" si="56"/>
        <v>0</v>
      </c>
      <c r="O25" s="15">
        <f t="shared" si="57"/>
        <v>0</v>
      </c>
      <c r="Q25" s="16">
        <f t="shared" si="58"/>
        <v>0</v>
      </c>
      <c r="R25" s="16">
        <f t="shared" si="59"/>
        <v>0</v>
      </c>
      <c r="T25" s="17">
        <f t="shared" si="60"/>
        <v>0</v>
      </c>
      <c r="U25" s="17">
        <f t="shared" si="61"/>
        <v>0</v>
      </c>
      <c r="V25" s="39"/>
      <c r="W25" s="38">
        <f t="shared" si="62"/>
        <v>0</v>
      </c>
      <c r="X25" s="38">
        <f t="shared" si="63"/>
        <v>0</v>
      </c>
      <c r="Y25" s="7"/>
    </row>
    <row r="26" spans="1:25" hidden="1">
      <c r="A26" s="7" t="s">
        <v>778</v>
      </c>
      <c r="B26" s="8">
        <f t="shared" si="51"/>
        <v>1.875</v>
      </c>
      <c r="C26" s="8">
        <f t="shared" si="52"/>
        <v>1.25</v>
      </c>
      <c r="D26" s="8">
        <v>1.1000000000000001</v>
      </c>
      <c r="E26" s="8">
        <v>1.4</v>
      </c>
      <c r="G26" s="36">
        <f t="shared" si="11"/>
        <v>0</v>
      </c>
      <c r="H26" s="22">
        <f t="shared" si="53"/>
        <v>0</v>
      </c>
      <c r="K26" s="14">
        <f t="shared" si="54"/>
        <v>0</v>
      </c>
      <c r="L26" s="14">
        <f t="shared" si="55"/>
        <v>0</v>
      </c>
      <c r="N26" s="15">
        <f t="shared" si="56"/>
        <v>0</v>
      </c>
      <c r="O26" s="15">
        <f t="shared" si="57"/>
        <v>0</v>
      </c>
      <c r="Q26" s="16">
        <f t="shared" si="58"/>
        <v>0</v>
      </c>
      <c r="R26" s="16">
        <f t="shared" si="59"/>
        <v>0</v>
      </c>
      <c r="T26" s="17">
        <f t="shared" si="60"/>
        <v>0</v>
      </c>
      <c r="U26" s="17">
        <f t="shared" si="61"/>
        <v>0</v>
      </c>
      <c r="V26" s="39"/>
      <c r="W26" s="38">
        <f t="shared" si="62"/>
        <v>0</v>
      </c>
      <c r="X26" s="38">
        <f t="shared" si="63"/>
        <v>0</v>
      </c>
      <c r="Y26" s="7"/>
    </row>
    <row r="27" spans="1:25" ht="21">
      <c r="A27" s="59" t="s">
        <v>145</v>
      </c>
      <c r="K27" s="14"/>
      <c r="L27" s="14"/>
      <c r="M27" s="313" t="s">
        <v>880</v>
      </c>
      <c r="N27" s="314"/>
      <c r="O27" s="315"/>
      <c r="Q27" s="16"/>
      <c r="R27" s="16"/>
      <c r="S27" s="316" t="s">
        <v>881</v>
      </c>
      <c r="T27" s="317"/>
      <c r="U27" s="318"/>
      <c r="V27" s="39"/>
      <c r="W27" s="38"/>
      <c r="X27" s="38"/>
      <c r="Y27" s="7"/>
    </row>
    <row r="28" spans="1:25">
      <c r="A28" s="7" t="s">
        <v>182</v>
      </c>
      <c r="B28" s="8">
        <f>C28*(1+$B$2)</f>
        <v>1.8000000000000003</v>
      </c>
      <c r="C28" s="8">
        <f>AVERAGE(D28:E28)</f>
        <v>1.2000000000000002</v>
      </c>
      <c r="D28" s="8">
        <v>1.1000000000000001</v>
      </c>
      <c r="E28" s="8">
        <v>1.3</v>
      </c>
      <c r="F28" s="22">
        <v>29</v>
      </c>
      <c r="G28" s="36">
        <f t="shared" si="11"/>
        <v>18</v>
      </c>
      <c r="H28" s="22">
        <f>SUM(F28,-G28)</f>
        <v>11</v>
      </c>
      <c r="J28" s="9">
        <v>0</v>
      </c>
      <c r="K28" s="14">
        <f>J28*C28</f>
        <v>0</v>
      </c>
      <c r="L28" s="14">
        <f>J28*B28</f>
        <v>0</v>
      </c>
      <c r="N28" s="15">
        <f>M28*C28</f>
        <v>0</v>
      </c>
      <c r="O28" s="15">
        <f>M28*B28</f>
        <v>0</v>
      </c>
      <c r="Q28" s="16">
        <f>P28*C28</f>
        <v>0</v>
      </c>
      <c r="R28" s="16">
        <f>P28*B28</f>
        <v>0</v>
      </c>
      <c r="T28" s="17">
        <f>S28*C28</f>
        <v>0</v>
      </c>
      <c r="U28" s="17">
        <f>S28*B28</f>
        <v>0</v>
      </c>
      <c r="V28" s="39"/>
      <c r="W28" s="38">
        <f>V28*C28</f>
        <v>0</v>
      </c>
      <c r="X28" s="38">
        <f>V28*B28</f>
        <v>0</v>
      </c>
      <c r="Y28" s="7">
        <v>2</v>
      </c>
    </row>
    <row r="29" spans="1:25" hidden="1">
      <c r="A29" s="7" t="s">
        <v>779</v>
      </c>
      <c r="B29" s="8">
        <f t="shared" ref="B29:B30" si="64">C29*(1+$B$2)</f>
        <v>3.1500000000000004</v>
      </c>
      <c r="C29" s="8">
        <f t="shared" ref="C29:C30" si="65">AVERAGE(D29:E29)</f>
        <v>2.1</v>
      </c>
      <c r="D29" s="8">
        <v>2.1</v>
      </c>
      <c r="G29" s="36">
        <f t="shared" si="11"/>
        <v>0</v>
      </c>
      <c r="H29" s="22">
        <f t="shared" ref="H29:H30" si="66">SUM(F29,-G29)</f>
        <v>0</v>
      </c>
      <c r="K29" s="14">
        <f t="shared" ref="K29:K30" si="67">J29*C29</f>
        <v>0</v>
      </c>
      <c r="L29" s="14">
        <f t="shared" ref="L29:L30" si="68">J29*B29</f>
        <v>0</v>
      </c>
      <c r="N29" s="15">
        <f t="shared" ref="N29:N30" si="69">M29*C29</f>
        <v>0</v>
      </c>
      <c r="O29" s="15">
        <f t="shared" ref="O29:O30" si="70">M29*B29</f>
        <v>0</v>
      </c>
      <c r="Q29" s="16">
        <f t="shared" ref="Q29:Q30" si="71">P29*C29</f>
        <v>0</v>
      </c>
      <c r="R29" s="16">
        <f t="shared" ref="R29:R30" si="72">P29*B29</f>
        <v>0</v>
      </c>
      <c r="T29" s="17">
        <f t="shared" ref="T29:T30" si="73">S29*C29</f>
        <v>0</v>
      </c>
      <c r="U29" s="17">
        <f t="shared" ref="U29:U30" si="74">S29*B29</f>
        <v>0</v>
      </c>
      <c r="V29" s="39"/>
      <c r="W29" s="38">
        <f t="shared" ref="W29:W30" si="75">V29*C29</f>
        <v>0</v>
      </c>
      <c r="X29" s="38">
        <f t="shared" ref="X29:X30" si="76">V29*B29</f>
        <v>0</v>
      </c>
      <c r="Y29" s="7"/>
    </row>
    <row r="30" spans="1:25">
      <c r="A30" s="7" t="s">
        <v>780</v>
      </c>
      <c r="B30" s="8">
        <f t="shared" si="64"/>
        <v>1.9500000000000002</v>
      </c>
      <c r="C30" s="8">
        <f t="shared" si="65"/>
        <v>1.3</v>
      </c>
      <c r="D30" s="8">
        <v>1.3</v>
      </c>
      <c r="G30" s="36" t="e">
        <f t="shared" si="11"/>
        <v>#VALUE!</v>
      </c>
      <c r="H30" s="22" t="e">
        <f t="shared" si="66"/>
        <v>#VALUE!</v>
      </c>
      <c r="K30" s="14">
        <f t="shared" si="67"/>
        <v>0</v>
      </c>
      <c r="L30" s="14">
        <f t="shared" si="68"/>
        <v>0</v>
      </c>
      <c r="M30" s="10" t="s">
        <v>882</v>
      </c>
      <c r="N30" s="15" t="e">
        <f t="shared" si="69"/>
        <v>#VALUE!</v>
      </c>
      <c r="O30" s="15" t="e">
        <f t="shared" si="70"/>
        <v>#VALUE!</v>
      </c>
      <c r="Q30" s="16">
        <f t="shared" si="71"/>
        <v>0</v>
      </c>
      <c r="R30" s="16">
        <f t="shared" si="72"/>
        <v>0</v>
      </c>
      <c r="T30" s="17">
        <f t="shared" si="73"/>
        <v>0</v>
      </c>
      <c r="U30" s="17">
        <f t="shared" si="74"/>
        <v>0</v>
      </c>
      <c r="V30" s="39"/>
      <c r="W30" s="38">
        <f t="shared" si="75"/>
        <v>0</v>
      </c>
      <c r="X30" s="38">
        <f t="shared" si="76"/>
        <v>0</v>
      </c>
      <c r="Y30" s="7"/>
    </row>
    <row r="31" spans="1:25">
      <c r="A31" s="7" t="s">
        <v>781</v>
      </c>
      <c r="B31" s="8">
        <f>C31*(1+$B$2)</f>
        <v>1.5750000000000002</v>
      </c>
      <c r="C31" s="8">
        <f>AVERAGE(D31:E31)</f>
        <v>1.05</v>
      </c>
      <c r="D31" s="8">
        <v>1.1000000000000001</v>
      </c>
      <c r="E31" s="8">
        <v>1</v>
      </c>
      <c r="F31" s="22">
        <v>150</v>
      </c>
      <c r="G31" s="36">
        <f t="shared" si="11"/>
        <v>89</v>
      </c>
      <c r="H31" s="22">
        <f>SUM(F31,-G31)</f>
        <v>61</v>
      </c>
      <c r="J31" s="9">
        <v>1</v>
      </c>
      <c r="K31" s="14">
        <f>J31*C31</f>
        <v>1.05</v>
      </c>
      <c r="L31" s="14">
        <f>J31*B31</f>
        <v>1.5750000000000002</v>
      </c>
      <c r="M31" s="10">
        <v>1</v>
      </c>
      <c r="N31" s="15">
        <f>M31*C31</f>
        <v>1.05</v>
      </c>
      <c r="O31" s="15">
        <f>M31*B31</f>
        <v>1.5750000000000002</v>
      </c>
      <c r="Q31" s="16">
        <f>P31*C31</f>
        <v>0</v>
      </c>
      <c r="R31" s="16">
        <f>P31*B31</f>
        <v>0</v>
      </c>
      <c r="S31" s="12">
        <v>1</v>
      </c>
      <c r="T31" s="17">
        <f>S31*C31</f>
        <v>1.05</v>
      </c>
      <c r="U31" s="17">
        <f>S31*B31</f>
        <v>1.5750000000000002</v>
      </c>
      <c r="V31" s="39"/>
      <c r="W31" s="38">
        <f>V31*C31</f>
        <v>0</v>
      </c>
      <c r="X31" s="38">
        <f>V31*B31</f>
        <v>0</v>
      </c>
      <c r="Y31" s="7">
        <v>2</v>
      </c>
    </row>
    <row r="32" spans="1:25">
      <c r="A32" s="7" t="s">
        <v>785</v>
      </c>
      <c r="B32" s="8">
        <f>C32*(1+$B$2)</f>
        <v>1.6500000000000001</v>
      </c>
      <c r="C32" s="8">
        <f>AVERAGE(D32:E32)</f>
        <v>1.1000000000000001</v>
      </c>
      <c r="D32" s="8">
        <v>1.1000000000000001</v>
      </c>
      <c r="F32" s="22">
        <v>120</v>
      </c>
      <c r="G32" s="36">
        <f t="shared" si="11"/>
        <v>80</v>
      </c>
      <c r="H32" s="22">
        <f>SUM(F32,-G32)</f>
        <v>40</v>
      </c>
      <c r="J32" s="9">
        <v>1</v>
      </c>
      <c r="K32" s="14">
        <f>J32*C32</f>
        <v>1.1000000000000001</v>
      </c>
      <c r="L32" s="14">
        <f>J32*B32</f>
        <v>1.6500000000000001</v>
      </c>
      <c r="M32" s="10">
        <v>1</v>
      </c>
      <c r="N32" s="15">
        <f>M32*C32</f>
        <v>1.1000000000000001</v>
      </c>
      <c r="O32" s="15">
        <f>M32*B32</f>
        <v>1.6500000000000001</v>
      </c>
      <c r="Q32" s="16">
        <f>P32*C32</f>
        <v>0</v>
      </c>
      <c r="R32" s="16">
        <f>P32*B32</f>
        <v>0</v>
      </c>
      <c r="S32" s="12">
        <v>1</v>
      </c>
      <c r="T32" s="17">
        <f>S32*C32</f>
        <v>1.1000000000000001</v>
      </c>
      <c r="U32" s="17">
        <f>S32*B32</f>
        <v>1.6500000000000001</v>
      </c>
      <c r="V32" s="39"/>
      <c r="W32" s="38">
        <f>V32*C32</f>
        <v>0</v>
      </c>
      <c r="X32" s="38">
        <f>V32*B32</f>
        <v>0</v>
      </c>
      <c r="Y32" s="7">
        <v>1</v>
      </c>
    </row>
    <row r="33" spans="1:26" ht="21">
      <c r="A33" s="59" t="s">
        <v>738</v>
      </c>
      <c r="D33" s="60"/>
      <c r="J33" s="310" t="s">
        <v>883</v>
      </c>
      <c r="K33" s="311"/>
      <c r="L33" s="312"/>
      <c r="M33" s="313" t="s">
        <v>884</v>
      </c>
      <c r="N33" s="314"/>
      <c r="O33" s="315"/>
      <c r="Q33" s="16"/>
      <c r="R33" s="16"/>
      <c r="T33" s="17"/>
      <c r="U33" s="17"/>
      <c r="V33" s="39"/>
      <c r="W33" s="38"/>
      <c r="X33" s="38"/>
      <c r="Y33" s="7"/>
    </row>
    <row r="34" spans="1:26">
      <c r="A34" s="7" t="s">
        <v>786</v>
      </c>
      <c r="B34" s="8">
        <f>C34*(1+$B$2)</f>
        <v>1.845</v>
      </c>
      <c r="C34" s="8">
        <f>AVERAGE(D34:E34)</f>
        <v>1.23</v>
      </c>
      <c r="D34" s="8">
        <v>1.23</v>
      </c>
      <c r="F34" s="22">
        <v>29</v>
      </c>
      <c r="G34" s="36">
        <f t="shared" si="11"/>
        <v>0</v>
      </c>
      <c r="H34" s="22">
        <f>SUM(F34,-G34)</f>
        <v>29</v>
      </c>
      <c r="K34" s="14">
        <f>J34*C34</f>
        <v>0</v>
      </c>
      <c r="L34" s="14">
        <f>J34*B34</f>
        <v>0</v>
      </c>
      <c r="N34" s="15">
        <f>M34*C34</f>
        <v>0</v>
      </c>
      <c r="O34" s="15">
        <f>M34*B34</f>
        <v>0</v>
      </c>
      <c r="Q34" s="16">
        <f>P34*C34</f>
        <v>0</v>
      </c>
      <c r="R34" s="16">
        <f>P34*B34</f>
        <v>0</v>
      </c>
      <c r="T34" s="17">
        <f>S34*C34</f>
        <v>0</v>
      </c>
      <c r="U34" s="17">
        <f>S34*B34</f>
        <v>0</v>
      </c>
      <c r="V34" s="39"/>
      <c r="W34" s="38">
        <f>V34*C34</f>
        <v>0</v>
      </c>
      <c r="X34" s="38">
        <f>V34*B34</f>
        <v>0</v>
      </c>
      <c r="Y34" s="7"/>
    </row>
    <row r="35" spans="1:26">
      <c r="A35" s="7" t="s">
        <v>44</v>
      </c>
      <c r="B35" s="8">
        <f>C35*(1+$B$2)</f>
        <v>0.75</v>
      </c>
      <c r="C35" s="8">
        <f>AVERAGE(D35:E35)</f>
        <v>0.5</v>
      </c>
      <c r="D35" s="13">
        <v>0.5</v>
      </c>
      <c r="F35" s="22">
        <v>150</v>
      </c>
      <c r="G35" s="36" t="e">
        <f t="shared" si="11"/>
        <v>#VALUE!</v>
      </c>
      <c r="H35" s="22" t="e">
        <f>SUM(F35,-G35)</f>
        <v>#VALUE!</v>
      </c>
      <c r="J35" s="9">
        <v>2</v>
      </c>
      <c r="K35" s="14">
        <f>J35*C35</f>
        <v>1</v>
      </c>
      <c r="L35" s="14">
        <f>J35*B35</f>
        <v>1.5</v>
      </c>
      <c r="M35" s="10">
        <v>3</v>
      </c>
      <c r="N35" s="15">
        <f>M35*C35</f>
        <v>1.5</v>
      </c>
      <c r="O35" s="15">
        <f>M35*B35</f>
        <v>2.25</v>
      </c>
      <c r="Q35" s="16">
        <f>P35*C35</f>
        <v>0</v>
      </c>
      <c r="R35" s="16">
        <f>P35*B35</f>
        <v>0</v>
      </c>
      <c r="T35" s="17">
        <f>S35*C35</f>
        <v>0</v>
      </c>
      <c r="U35" s="17">
        <f>S35*B35</f>
        <v>0</v>
      </c>
      <c r="V35" s="39">
        <v>10</v>
      </c>
      <c r="W35" s="38">
        <f>V35*C35</f>
        <v>5</v>
      </c>
      <c r="X35" s="38">
        <f>V35*B35</f>
        <v>7.5</v>
      </c>
      <c r="Y35" s="7">
        <v>5</v>
      </c>
      <c r="Z35" s="7" t="s">
        <v>885</v>
      </c>
    </row>
    <row r="36" spans="1:26">
      <c r="A36" s="7" t="s">
        <v>787</v>
      </c>
      <c r="B36" s="8">
        <f>C36*(1+$B$2)</f>
        <v>1.425</v>
      </c>
      <c r="C36" s="8">
        <f>AVERAGE(D36:E36)</f>
        <v>0.95000000000000007</v>
      </c>
      <c r="D36" s="8">
        <v>0.8</v>
      </c>
      <c r="E36" s="8">
        <v>1.1000000000000001</v>
      </c>
      <c r="G36" s="36">
        <f t="shared" si="11"/>
        <v>0</v>
      </c>
      <c r="H36" s="22">
        <f>SUM(F36,-G36)</f>
        <v>0</v>
      </c>
      <c r="K36" s="14">
        <f>J36*C36</f>
        <v>0</v>
      </c>
      <c r="L36" s="14">
        <f>J36*B36</f>
        <v>0</v>
      </c>
      <c r="N36" s="15">
        <f>M36*C36</f>
        <v>0</v>
      </c>
      <c r="O36" s="15">
        <f>M36*B36</f>
        <v>0</v>
      </c>
      <c r="Q36" s="16">
        <f>P36*C36</f>
        <v>0</v>
      </c>
      <c r="R36" s="16">
        <f>P36*B36</f>
        <v>0</v>
      </c>
      <c r="T36" s="17">
        <f>S36*C36</f>
        <v>0</v>
      </c>
      <c r="U36" s="17">
        <f>S36*B36</f>
        <v>0</v>
      </c>
      <c r="V36" s="39"/>
      <c r="W36" s="38">
        <f>V36*C36</f>
        <v>0</v>
      </c>
      <c r="X36" s="38">
        <f>V36*B36</f>
        <v>0</v>
      </c>
      <c r="Y36" s="7">
        <v>0</v>
      </c>
    </row>
    <row r="37" spans="1:26">
      <c r="A37" s="7" t="s">
        <v>788</v>
      </c>
      <c r="B37" s="8">
        <f>C37*(1+$B$2)</f>
        <v>1.125</v>
      </c>
      <c r="C37" s="8">
        <f>AVERAGE(D37:E37)</f>
        <v>0.75</v>
      </c>
      <c r="D37" s="13">
        <v>0.75</v>
      </c>
      <c r="F37" s="22">
        <v>32</v>
      </c>
      <c r="G37" s="36">
        <f t="shared" si="11"/>
        <v>26.1</v>
      </c>
      <c r="H37" s="22">
        <f>SUM(F37,-G37)</f>
        <v>5.8999999999999986</v>
      </c>
      <c r="J37" s="9">
        <v>0.5</v>
      </c>
      <c r="K37" s="14">
        <f>J37*C37</f>
        <v>0.375</v>
      </c>
      <c r="L37" s="14">
        <f>J37*B37</f>
        <v>0.5625</v>
      </c>
      <c r="M37" s="10">
        <v>0.66</v>
      </c>
      <c r="N37" s="15">
        <f>M37*C37</f>
        <v>0.495</v>
      </c>
      <c r="O37" s="15">
        <f>M37*B37</f>
        <v>0.74250000000000005</v>
      </c>
      <c r="Q37" s="16">
        <f>P37*C37</f>
        <v>0</v>
      </c>
      <c r="R37" s="16">
        <f>P37*B37</f>
        <v>0</v>
      </c>
      <c r="T37" s="17">
        <f>S37*C37</f>
        <v>0</v>
      </c>
      <c r="U37" s="17">
        <f>S37*B37</f>
        <v>0</v>
      </c>
      <c r="V37" s="39"/>
      <c r="W37" s="38">
        <f>V37*C37</f>
        <v>0</v>
      </c>
      <c r="X37" s="38">
        <f>V37*B37</f>
        <v>0</v>
      </c>
      <c r="Y37" s="7">
        <v>1</v>
      </c>
    </row>
    <row r="38" spans="1:26">
      <c r="A38" s="7" t="s">
        <v>789</v>
      </c>
      <c r="B38" s="8">
        <f t="shared" ref="B38" si="77">C38*(1+$B$2)</f>
        <v>1.6949999999999998</v>
      </c>
      <c r="C38" s="8">
        <f t="shared" si="1"/>
        <v>1.1299999999999999</v>
      </c>
      <c r="D38" s="8">
        <v>1.1299999999999999</v>
      </c>
      <c r="F38" s="22">
        <v>17</v>
      </c>
      <c r="G38" s="36">
        <f t="shared" si="11"/>
        <v>33.6</v>
      </c>
      <c r="H38" s="22">
        <f t="shared" ref="H38" si="78">SUM(F38,-G38)</f>
        <v>-16.600000000000001</v>
      </c>
      <c r="J38" s="9">
        <v>0</v>
      </c>
      <c r="K38" s="14">
        <f t="shared" si="3"/>
        <v>0</v>
      </c>
      <c r="L38" s="14">
        <f t="shared" si="4"/>
        <v>0</v>
      </c>
      <c r="M38" s="10">
        <v>0.66</v>
      </c>
      <c r="N38" s="15">
        <f t="shared" si="5"/>
        <v>0.74580000000000002</v>
      </c>
      <c r="O38" s="15">
        <f t="shared" si="6"/>
        <v>1.1187</v>
      </c>
      <c r="Q38" s="16">
        <f t="shared" si="7"/>
        <v>0</v>
      </c>
      <c r="R38" s="16">
        <f t="shared" si="8"/>
        <v>0</v>
      </c>
      <c r="T38" s="17">
        <f t="shared" si="9"/>
        <v>0</v>
      </c>
      <c r="U38" s="17">
        <f t="shared" si="10"/>
        <v>0</v>
      </c>
      <c r="V38" s="39"/>
      <c r="W38" s="38">
        <f t="shared" si="12"/>
        <v>0</v>
      </c>
      <c r="X38" s="38">
        <f t="shared" si="13"/>
        <v>0</v>
      </c>
      <c r="Y38" s="7">
        <v>3</v>
      </c>
    </row>
    <row r="39" spans="1:26">
      <c r="A39" s="7" t="s">
        <v>790</v>
      </c>
      <c r="B39" s="8">
        <f t="shared" ref="B39" si="79">C39*(1+$B$2)</f>
        <v>1.7999999999999998</v>
      </c>
      <c r="C39" s="8">
        <f t="shared" ref="C39" si="80">AVERAGE(D39:E39)</f>
        <v>1.2</v>
      </c>
      <c r="E39" s="8">
        <v>1.2</v>
      </c>
      <c r="F39" s="22">
        <v>33</v>
      </c>
      <c r="G39" s="36">
        <f t="shared" si="11"/>
        <v>26.1</v>
      </c>
      <c r="H39" s="22">
        <f t="shared" ref="H39" si="81">SUM(F39,-G39)</f>
        <v>6.8999999999999986</v>
      </c>
      <c r="J39" s="9">
        <v>0.5</v>
      </c>
      <c r="K39" s="14">
        <f t="shared" ref="K39" si="82">J39*C39</f>
        <v>0.6</v>
      </c>
      <c r="L39" s="14">
        <f t="shared" ref="L39" si="83">J39*B39</f>
        <v>0.89999999999999991</v>
      </c>
      <c r="M39" s="10">
        <v>0.66</v>
      </c>
      <c r="N39" s="15">
        <f t="shared" ref="N39" si="84">M39*C39</f>
        <v>0.79200000000000004</v>
      </c>
      <c r="O39" s="15">
        <f t="shared" ref="O39" si="85">M39*B39</f>
        <v>1.1879999999999999</v>
      </c>
      <c r="Q39" s="16">
        <f t="shared" ref="Q39" si="86">P39*C39</f>
        <v>0</v>
      </c>
      <c r="R39" s="16">
        <f t="shared" ref="R39" si="87">P39*B39</f>
        <v>0</v>
      </c>
      <c r="T39" s="17">
        <f t="shared" ref="T39" si="88">S39*C39</f>
        <v>0</v>
      </c>
      <c r="U39" s="17">
        <f t="shared" ref="U39" si="89">S39*B39</f>
        <v>0</v>
      </c>
      <c r="V39" s="39"/>
      <c r="W39" s="38">
        <f t="shared" ref="W39" si="90">V39*C39</f>
        <v>0</v>
      </c>
      <c r="X39" s="38">
        <f t="shared" ref="X39" si="91">V39*B39</f>
        <v>0</v>
      </c>
      <c r="Y39" s="7">
        <v>1</v>
      </c>
    </row>
    <row r="40" spans="1:26" ht="21">
      <c r="A40" s="59" t="s">
        <v>148</v>
      </c>
      <c r="G40" s="36">
        <f t="shared" si="11"/>
        <v>0</v>
      </c>
    </row>
    <row r="41" spans="1:26">
      <c r="A41" s="7" t="s">
        <v>791</v>
      </c>
      <c r="B41" s="8">
        <f t="shared" ref="B41:B46" si="92">C41*(1+$B$2)</f>
        <v>1.35</v>
      </c>
      <c r="C41" s="8">
        <f t="shared" ref="C41:C46" si="93">AVERAGE(D41:E41)</f>
        <v>0.9</v>
      </c>
      <c r="D41" s="13">
        <v>0.9</v>
      </c>
      <c r="F41" s="22">
        <v>50</v>
      </c>
      <c r="G41" s="36">
        <f t="shared" si="11"/>
        <v>71</v>
      </c>
      <c r="H41" s="22">
        <f t="shared" ref="H41:H46" si="94">SUM(F41,-G41)</f>
        <v>-21</v>
      </c>
      <c r="J41" s="9">
        <v>2</v>
      </c>
      <c r="K41" s="14">
        <f t="shared" ref="K41:K46" si="95">J41*C41</f>
        <v>1.8</v>
      </c>
      <c r="L41" s="14">
        <f t="shared" ref="L41:L46" si="96">J41*B41</f>
        <v>2.7</v>
      </c>
      <c r="M41" s="10">
        <v>2</v>
      </c>
      <c r="N41" s="15">
        <f t="shared" ref="N41:N46" si="97">M41*C41</f>
        <v>1.8</v>
      </c>
      <c r="O41" s="15">
        <f t="shared" ref="O41:O46" si="98">M41*B41</f>
        <v>2.7</v>
      </c>
      <c r="Q41" s="16">
        <f t="shared" ref="Q41:Q46" si="99">P41*C41</f>
        <v>0</v>
      </c>
      <c r="R41" s="16">
        <f t="shared" ref="R41:R46" si="100">P41*B41</f>
        <v>0</v>
      </c>
      <c r="T41" s="17">
        <f t="shared" ref="T41:T46" si="101">S41*C41</f>
        <v>0</v>
      </c>
      <c r="U41" s="17">
        <f t="shared" ref="U41:U46" si="102">S41*B41</f>
        <v>0</v>
      </c>
      <c r="V41" s="39"/>
      <c r="W41" s="38">
        <f t="shared" ref="W41:W46" si="103">V41*C41</f>
        <v>0</v>
      </c>
      <c r="X41" s="38">
        <f t="shared" ref="X41:X46" si="104">V41*B41</f>
        <v>0</v>
      </c>
      <c r="Y41" s="7">
        <v>1</v>
      </c>
    </row>
    <row r="42" spans="1:26">
      <c r="A42" s="7" t="s">
        <v>792</v>
      </c>
      <c r="B42" s="8">
        <f t="shared" si="92"/>
        <v>1.6500000000000001</v>
      </c>
      <c r="C42" s="8">
        <f t="shared" si="93"/>
        <v>1.1000000000000001</v>
      </c>
      <c r="D42" s="60">
        <v>1.1000000000000001</v>
      </c>
      <c r="F42" s="22">
        <v>70</v>
      </c>
      <c r="G42" s="36">
        <f t="shared" si="11"/>
        <v>80</v>
      </c>
      <c r="H42" s="22">
        <f t="shared" si="94"/>
        <v>-10</v>
      </c>
      <c r="J42" s="9">
        <v>2</v>
      </c>
      <c r="K42" s="14">
        <f t="shared" si="95"/>
        <v>2.2000000000000002</v>
      </c>
      <c r="L42" s="14">
        <f t="shared" si="96"/>
        <v>3.3000000000000003</v>
      </c>
      <c r="M42" s="10">
        <v>2</v>
      </c>
      <c r="N42" s="15">
        <f t="shared" si="97"/>
        <v>2.2000000000000002</v>
      </c>
      <c r="O42" s="15">
        <f t="shared" si="98"/>
        <v>3.3000000000000003</v>
      </c>
      <c r="Q42" s="16">
        <f t="shared" si="99"/>
        <v>0</v>
      </c>
      <c r="R42" s="16">
        <f t="shared" si="100"/>
        <v>0</v>
      </c>
      <c r="T42" s="17">
        <f t="shared" si="101"/>
        <v>0</v>
      </c>
      <c r="U42" s="17">
        <f t="shared" si="102"/>
        <v>0</v>
      </c>
      <c r="V42" s="39"/>
      <c r="W42" s="38">
        <f t="shared" si="103"/>
        <v>0</v>
      </c>
      <c r="X42" s="38">
        <f t="shared" si="104"/>
        <v>0</v>
      </c>
      <c r="Y42" s="7">
        <v>2</v>
      </c>
    </row>
    <row r="43" spans="1:26">
      <c r="A43" s="7" t="s">
        <v>793</v>
      </c>
      <c r="B43" s="8">
        <f t="shared" si="92"/>
        <v>1.6500000000000001</v>
      </c>
      <c r="C43" s="8">
        <f t="shared" si="93"/>
        <v>1.1000000000000001</v>
      </c>
      <c r="D43" s="60">
        <v>1.1000000000000001</v>
      </c>
      <c r="G43" s="36">
        <f t="shared" si="11"/>
        <v>0</v>
      </c>
      <c r="H43" s="22">
        <f t="shared" si="94"/>
        <v>0</v>
      </c>
      <c r="K43" s="14">
        <f t="shared" si="95"/>
        <v>0</v>
      </c>
      <c r="L43" s="14">
        <f t="shared" si="96"/>
        <v>0</v>
      </c>
      <c r="N43" s="15">
        <f t="shared" si="97"/>
        <v>0</v>
      </c>
      <c r="O43" s="15">
        <f t="shared" si="98"/>
        <v>0</v>
      </c>
      <c r="Q43" s="16">
        <f t="shared" si="99"/>
        <v>0</v>
      </c>
      <c r="R43" s="16">
        <f t="shared" si="100"/>
        <v>0</v>
      </c>
      <c r="T43" s="17">
        <f t="shared" si="101"/>
        <v>0</v>
      </c>
      <c r="U43" s="17">
        <f t="shared" si="102"/>
        <v>0</v>
      </c>
      <c r="V43" s="39"/>
      <c r="W43" s="38">
        <f t="shared" si="103"/>
        <v>0</v>
      </c>
      <c r="X43" s="38">
        <f t="shared" si="104"/>
        <v>0</v>
      </c>
      <c r="Y43" s="7"/>
    </row>
    <row r="44" spans="1:26">
      <c r="A44" s="7" t="s">
        <v>794</v>
      </c>
      <c r="B44" s="8">
        <f t="shared" si="92"/>
        <v>1.875</v>
      </c>
      <c r="C44" s="8">
        <f t="shared" si="93"/>
        <v>1.25</v>
      </c>
      <c r="D44" s="60">
        <v>1.25</v>
      </c>
      <c r="G44" s="36">
        <f t="shared" si="11"/>
        <v>0</v>
      </c>
      <c r="H44" s="22">
        <f t="shared" si="94"/>
        <v>0</v>
      </c>
      <c r="K44" s="14">
        <f t="shared" si="95"/>
        <v>0</v>
      </c>
      <c r="L44" s="14">
        <f t="shared" si="96"/>
        <v>0</v>
      </c>
      <c r="N44" s="15">
        <f t="shared" si="97"/>
        <v>0</v>
      </c>
      <c r="O44" s="15">
        <f t="shared" si="98"/>
        <v>0</v>
      </c>
      <c r="Q44" s="16">
        <f t="shared" si="99"/>
        <v>0</v>
      </c>
      <c r="R44" s="16">
        <f t="shared" si="100"/>
        <v>0</v>
      </c>
      <c r="T44" s="17">
        <f t="shared" si="101"/>
        <v>0</v>
      </c>
      <c r="U44" s="17">
        <f t="shared" si="102"/>
        <v>0</v>
      </c>
      <c r="V44" s="39"/>
      <c r="W44" s="38">
        <f t="shared" si="103"/>
        <v>0</v>
      </c>
      <c r="X44" s="38">
        <f t="shared" si="104"/>
        <v>0</v>
      </c>
      <c r="Y44" s="7"/>
    </row>
    <row r="45" spans="1:26">
      <c r="A45" s="7" t="s">
        <v>795</v>
      </c>
      <c r="B45" s="8">
        <f t="shared" si="92"/>
        <v>2.25</v>
      </c>
      <c r="C45" s="8">
        <f t="shared" si="93"/>
        <v>1.5</v>
      </c>
      <c r="D45" s="13">
        <v>1.5</v>
      </c>
      <c r="F45" s="22">
        <v>33</v>
      </c>
      <c r="G45" s="36">
        <f t="shared" si="11"/>
        <v>19</v>
      </c>
      <c r="H45" s="22">
        <f t="shared" si="94"/>
        <v>14</v>
      </c>
      <c r="J45" s="9">
        <v>0</v>
      </c>
      <c r="K45" s="14">
        <f t="shared" si="95"/>
        <v>0</v>
      </c>
      <c r="L45" s="14">
        <f t="shared" si="96"/>
        <v>0</v>
      </c>
      <c r="M45" s="10">
        <v>1</v>
      </c>
      <c r="N45" s="15">
        <f t="shared" si="97"/>
        <v>1.5</v>
      </c>
      <c r="O45" s="15">
        <f t="shared" si="98"/>
        <v>2.25</v>
      </c>
      <c r="Q45" s="16">
        <f t="shared" si="99"/>
        <v>0</v>
      </c>
      <c r="R45" s="16">
        <f t="shared" si="100"/>
        <v>0</v>
      </c>
      <c r="T45" s="17">
        <f t="shared" si="101"/>
        <v>0</v>
      </c>
      <c r="U45" s="17">
        <f t="shared" si="102"/>
        <v>0</v>
      </c>
      <c r="V45" s="39"/>
      <c r="W45" s="38">
        <f t="shared" si="103"/>
        <v>0</v>
      </c>
      <c r="X45" s="38">
        <f t="shared" si="104"/>
        <v>0</v>
      </c>
      <c r="Y45" s="7">
        <v>1</v>
      </c>
    </row>
    <row r="46" spans="1:26">
      <c r="A46" s="7" t="s">
        <v>796</v>
      </c>
      <c r="B46" s="8">
        <f t="shared" si="92"/>
        <v>1.875</v>
      </c>
      <c r="C46" s="8">
        <f t="shared" si="93"/>
        <v>1.25</v>
      </c>
      <c r="D46" s="60">
        <v>1.25</v>
      </c>
      <c r="G46" s="36">
        <f t="shared" si="11"/>
        <v>0</v>
      </c>
      <c r="H46" s="22">
        <f t="shared" si="94"/>
        <v>0</v>
      </c>
      <c r="J46" s="9">
        <v>0</v>
      </c>
      <c r="K46" s="14">
        <f t="shared" si="95"/>
        <v>0</v>
      </c>
      <c r="L46" s="14">
        <f t="shared" si="96"/>
        <v>0</v>
      </c>
      <c r="N46" s="15">
        <f t="shared" si="97"/>
        <v>0</v>
      </c>
      <c r="O46" s="15">
        <f t="shared" si="98"/>
        <v>0</v>
      </c>
      <c r="Q46" s="16">
        <f t="shared" si="99"/>
        <v>0</v>
      </c>
      <c r="R46" s="16">
        <f t="shared" si="100"/>
        <v>0</v>
      </c>
      <c r="T46" s="17">
        <f t="shared" si="101"/>
        <v>0</v>
      </c>
      <c r="U46" s="17">
        <f t="shared" si="102"/>
        <v>0</v>
      </c>
      <c r="V46" s="39"/>
      <c r="W46" s="38">
        <f t="shared" si="103"/>
        <v>0</v>
      </c>
      <c r="X46" s="38">
        <f t="shared" si="104"/>
        <v>0</v>
      </c>
      <c r="Y46" s="7"/>
    </row>
    <row r="47" spans="1:26">
      <c r="A47" s="7" t="s">
        <v>59</v>
      </c>
      <c r="B47" s="8">
        <f t="shared" ref="B47:B48" si="105">C47*(1+$B$2)</f>
        <v>1.6500000000000001</v>
      </c>
      <c r="C47" s="8">
        <f t="shared" ref="C47:C48" si="106">AVERAGE(D47:E47)</f>
        <v>1.1000000000000001</v>
      </c>
      <c r="D47" s="60"/>
      <c r="E47" s="8">
        <v>1.1000000000000001</v>
      </c>
      <c r="F47" s="22">
        <v>21</v>
      </c>
      <c r="G47" s="36">
        <f t="shared" si="11"/>
        <v>25</v>
      </c>
      <c r="H47" s="22">
        <f t="shared" ref="H47:H48" si="107">SUM(F47,-G47)</f>
        <v>-4</v>
      </c>
      <c r="K47" s="14">
        <f t="shared" ref="K47:K48" si="108">J47*C47</f>
        <v>0</v>
      </c>
      <c r="L47" s="14">
        <f t="shared" ref="L47:L48" si="109">J47*B47</f>
        <v>0</v>
      </c>
      <c r="N47" s="15">
        <f t="shared" ref="N47:N48" si="110">M47*C47</f>
        <v>0</v>
      </c>
      <c r="O47" s="15">
        <f t="shared" ref="O47:O48" si="111">M47*B47</f>
        <v>0</v>
      </c>
      <c r="Q47" s="16">
        <f t="shared" ref="Q47:Q48" si="112">P47*C47</f>
        <v>0</v>
      </c>
      <c r="R47" s="16">
        <f t="shared" ref="R47:R48" si="113">P47*B47</f>
        <v>0</v>
      </c>
      <c r="T47" s="17">
        <f t="shared" ref="T47:T48" si="114">S47*C47</f>
        <v>0</v>
      </c>
      <c r="U47" s="17">
        <f t="shared" ref="U47:U48" si="115">S47*B47</f>
        <v>0</v>
      </c>
      <c r="V47" s="39">
        <v>5</v>
      </c>
      <c r="W47" s="38">
        <f t="shared" ref="W47:W48" si="116">V47*C47</f>
        <v>5.5</v>
      </c>
      <c r="X47" s="38">
        <f t="shared" ref="X47:X48" si="117">V47*B47</f>
        <v>8.25</v>
      </c>
      <c r="Y47" s="7"/>
    </row>
    <row r="48" spans="1:26">
      <c r="A48" s="7" t="s">
        <v>798</v>
      </c>
      <c r="B48" s="8">
        <f t="shared" si="105"/>
        <v>1.875</v>
      </c>
      <c r="C48" s="8">
        <f t="shared" si="106"/>
        <v>1.25</v>
      </c>
      <c r="D48" s="13">
        <v>1.25</v>
      </c>
      <c r="G48" s="36">
        <f t="shared" si="11"/>
        <v>0</v>
      </c>
      <c r="H48" s="22">
        <f t="shared" si="107"/>
        <v>0</v>
      </c>
      <c r="J48" s="9">
        <v>0</v>
      </c>
      <c r="K48" s="14">
        <f t="shared" si="108"/>
        <v>0</v>
      </c>
      <c r="L48" s="14">
        <f t="shared" si="109"/>
        <v>0</v>
      </c>
      <c r="M48" s="10">
        <v>0</v>
      </c>
      <c r="N48" s="15">
        <f t="shared" si="110"/>
        <v>0</v>
      </c>
      <c r="O48" s="15">
        <f t="shared" si="111"/>
        <v>0</v>
      </c>
      <c r="Q48" s="16">
        <f t="shared" si="112"/>
        <v>0</v>
      </c>
      <c r="R48" s="16">
        <f t="shared" si="113"/>
        <v>0</v>
      </c>
      <c r="T48" s="17">
        <f t="shared" si="114"/>
        <v>0</v>
      </c>
      <c r="U48" s="17">
        <f t="shared" si="115"/>
        <v>0</v>
      </c>
      <c r="V48" s="39"/>
      <c r="W48" s="38">
        <f t="shared" si="116"/>
        <v>0</v>
      </c>
      <c r="X48" s="38">
        <f t="shared" si="117"/>
        <v>0</v>
      </c>
      <c r="Y48" s="7"/>
    </row>
    <row r="49" spans="1:30">
      <c r="V49" s="39"/>
      <c r="W49" s="39"/>
      <c r="X49" s="39"/>
      <c r="Y49" s="7"/>
    </row>
    <row r="50" spans="1:30" s="19" customFormat="1">
      <c r="A50" s="19" t="s">
        <v>845</v>
      </c>
      <c r="B50" s="18"/>
      <c r="C50" s="18"/>
      <c r="D50" s="18"/>
      <c r="E50" s="18"/>
      <c r="F50" s="21"/>
      <c r="G50" s="35"/>
      <c r="H50" s="21"/>
      <c r="I50" s="21"/>
      <c r="J50" s="20"/>
      <c r="K50" s="23">
        <f>SUM(K4:K48)</f>
        <v>19.625</v>
      </c>
      <c r="L50" s="23">
        <f>SUM(L4:L48)</f>
        <v>29.437499999999996</v>
      </c>
      <c r="M50" s="24"/>
      <c r="N50" s="24" t="e">
        <f>SUM(N4:N48)</f>
        <v>#VALUE!</v>
      </c>
      <c r="O50" s="24" t="e">
        <f t="shared" ref="O50:X50" si="118">SUM(O4:O48)</f>
        <v>#VALUE!</v>
      </c>
      <c r="P50" s="25"/>
      <c r="Q50" s="25" t="e">
        <f t="shared" si="118"/>
        <v>#VALUE!</v>
      </c>
      <c r="R50" s="25" t="e">
        <f t="shared" si="118"/>
        <v>#VALUE!</v>
      </c>
      <c r="S50" s="26"/>
      <c r="T50" s="26">
        <f t="shared" si="118"/>
        <v>21.400000000000002</v>
      </c>
      <c r="U50" s="26">
        <f t="shared" si="118"/>
        <v>32.1</v>
      </c>
      <c r="V50" s="61"/>
      <c r="W50" s="61">
        <f t="shared" si="118"/>
        <v>25.95</v>
      </c>
      <c r="X50" s="61">
        <f t="shared" si="118"/>
        <v>38.924999999999997</v>
      </c>
      <c r="Y50" s="61"/>
      <c r="Z50" s="40"/>
      <c r="AA50" s="40"/>
      <c r="AB50" s="40"/>
      <c r="AC50" s="40"/>
    </row>
    <row r="51" spans="1:30">
      <c r="A51" s="7" t="s">
        <v>800</v>
      </c>
      <c r="K51" s="30">
        <f>(20*1.33)*5/60</f>
        <v>2.2166666666666668</v>
      </c>
      <c r="L51" s="30">
        <f>((20*1.33)*5/60)*1.5</f>
        <v>3.3250000000000002</v>
      </c>
      <c r="M51" s="31"/>
      <c r="N51" s="31">
        <f>(20*1.33)*7.5/60</f>
        <v>3.3250000000000002</v>
      </c>
      <c r="O51" s="31">
        <f>((20*1.33)*7/60)*1.5</f>
        <v>4.6550000000000002</v>
      </c>
      <c r="P51" s="32"/>
      <c r="Q51" s="32">
        <f>(20*1.33)*5/60</f>
        <v>2.2166666666666668</v>
      </c>
      <c r="R51" s="32">
        <f>(20*1.33)*7/60</f>
        <v>3.1033333333333335</v>
      </c>
      <c r="S51" s="33"/>
      <c r="T51" s="33">
        <f>(20*1.33)*5/60</f>
        <v>2.2166666666666668</v>
      </c>
      <c r="U51" s="33">
        <f>((20*1.33)*5/60)*1.5</f>
        <v>3.3250000000000002</v>
      </c>
      <c r="V51" s="41"/>
      <c r="W51" s="41">
        <f>(20*1.33)*3/60</f>
        <v>1.3300000000000003</v>
      </c>
      <c r="X51" s="41">
        <f>((20*1.33)*3/60)*1.5</f>
        <v>1.9950000000000006</v>
      </c>
      <c r="Y51" s="41"/>
      <c r="Z51" s="41"/>
      <c r="AA51" s="41"/>
      <c r="AB51" s="41"/>
      <c r="AC51" s="41"/>
    </row>
    <row r="52" spans="1:30" s="49" customFormat="1" ht="19">
      <c r="A52" s="49" t="s">
        <v>802</v>
      </c>
      <c r="B52" s="45"/>
      <c r="C52" s="45"/>
      <c r="D52" s="45"/>
      <c r="E52" s="45"/>
      <c r="F52" s="46"/>
      <c r="G52" s="47"/>
      <c r="H52" s="46"/>
      <c r="I52" s="46"/>
      <c r="J52" s="52"/>
      <c r="K52" s="53">
        <f>SUM(K50:K51)</f>
        <v>21.841666666666669</v>
      </c>
      <c r="L52" s="53">
        <f t="shared" ref="L52:U52" si="119">SUM(L50:L51)</f>
        <v>32.762499999999996</v>
      </c>
      <c r="M52" s="54"/>
      <c r="N52" s="54" t="e">
        <f t="shared" si="119"/>
        <v>#VALUE!</v>
      </c>
      <c r="O52" s="54" t="e">
        <f t="shared" si="119"/>
        <v>#VALUE!</v>
      </c>
      <c r="P52" s="55"/>
      <c r="Q52" s="55" t="e">
        <f t="shared" si="119"/>
        <v>#VALUE!</v>
      </c>
      <c r="R52" s="55" t="e">
        <f t="shared" si="119"/>
        <v>#VALUE!</v>
      </c>
      <c r="S52" s="56"/>
      <c r="T52" s="56">
        <f t="shared" si="119"/>
        <v>23.616666666666667</v>
      </c>
      <c r="U52" s="56">
        <f t="shared" si="119"/>
        <v>35.425000000000004</v>
      </c>
      <c r="V52" s="57"/>
      <c r="W52" s="57">
        <f t="shared" ref="W52:X52" si="120">SUM(W50:W51)</f>
        <v>27.28</v>
      </c>
      <c r="X52" s="57">
        <f t="shared" si="120"/>
        <v>40.919999999999995</v>
      </c>
      <c r="Y52" s="57"/>
      <c r="Z52" s="57"/>
      <c r="AA52" s="57"/>
      <c r="AB52" s="57"/>
      <c r="AC52" s="57"/>
      <c r="AD52" s="58"/>
    </row>
    <row r="53" spans="1:30">
      <c r="K53" s="27"/>
      <c r="L53" s="27"/>
      <c r="M53" s="28"/>
      <c r="N53" s="28"/>
      <c r="O53" s="28"/>
      <c r="P53" s="29"/>
      <c r="Q53" s="29"/>
      <c r="R53" s="29"/>
      <c r="S53" s="13"/>
      <c r="T53" s="13"/>
      <c r="U53" s="13"/>
      <c r="V53" s="42"/>
      <c r="W53" s="42"/>
      <c r="X53" s="42"/>
      <c r="Y53" s="7"/>
    </row>
    <row r="54" spans="1:30">
      <c r="A54" s="7" t="s">
        <v>803</v>
      </c>
      <c r="K54" s="27"/>
      <c r="L54" s="27"/>
      <c r="M54" s="28"/>
      <c r="N54" s="28"/>
      <c r="O54" s="28"/>
      <c r="P54" s="29"/>
      <c r="Q54" s="29"/>
      <c r="R54" s="29"/>
      <c r="S54" s="13"/>
      <c r="T54" s="13"/>
      <c r="U54" s="13"/>
      <c r="V54" s="42"/>
      <c r="W54" s="42"/>
      <c r="X54" s="42"/>
      <c r="Y54" s="7"/>
    </row>
    <row r="55" spans="1:30">
      <c r="A55" s="7" t="s">
        <v>804</v>
      </c>
      <c r="K55" s="27"/>
      <c r="L55" s="27"/>
      <c r="M55" s="28"/>
      <c r="N55" s="28"/>
      <c r="O55" s="28"/>
      <c r="P55" s="29"/>
      <c r="Q55" s="29"/>
      <c r="R55" s="29"/>
      <c r="S55" s="13"/>
      <c r="T55" s="13"/>
      <c r="U55" s="13"/>
      <c r="V55" s="42"/>
      <c r="W55" s="42"/>
      <c r="X55" s="42"/>
      <c r="Y55" s="7"/>
    </row>
    <row r="56" spans="1:30">
      <c r="V56" s="39"/>
      <c r="W56" s="39"/>
      <c r="X56" s="39"/>
      <c r="Y56" s="7"/>
    </row>
    <row r="57" spans="1:30">
      <c r="V57" s="39"/>
      <c r="W57" s="39"/>
      <c r="X57" s="39"/>
      <c r="Y57" s="7"/>
    </row>
    <row r="58" spans="1:30">
      <c r="B58" s="13"/>
      <c r="C58" s="8" t="s">
        <v>805</v>
      </c>
      <c r="V58" s="39"/>
      <c r="W58" s="39"/>
      <c r="X58" s="39"/>
      <c r="Y58" s="7"/>
    </row>
    <row r="59" spans="1:30">
      <c r="V59" s="39"/>
      <c r="W59" s="39"/>
      <c r="X59" s="39"/>
      <c r="Y59" s="7"/>
    </row>
  </sheetData>
  <mergeCells count="12">
    <mergeCell ref="J33:L33"/>
    <mergeCell ref="M33:O33"/>
    <mergeCell ref="S27:U27"/>
    <mergeCell ref="M17:O17"/>
    <mergeCell ref="V17:X17"/>
    <mergeCell ref="M27:O27"/>
    <mergeCell ref="V2:X2"/>
    <mergeCell ref="J10:O10"/>
    <mergeCell ref="J2:L2"/>
    <mergeCell ref="M2:O2"/>
    <mergeCell ref="P2:R2"/>
    <mergeCell ref="S2:U2"/>
  </mergeCells>
  <pageMargins left="0.7" right="0.7" top="0.75" bottom="0.75" header="0.3" footer="0.3"/>
  <pageSetup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06B9-7A82-B14D-9E53-3FD01BB52B53}">
  <sheetPr codeName="Sheet23"/>
  <dimension ref="A1:AD63"/>
  <sheetViews>
    <sheetView workbookViewId="0">
      <selection activeCell="A11" sqref="A11:A16"/>
    </sheetView>
  </sheetViews>
  <sheetFormatPr baseColWidth="10" defaultColWidth="10.83203125" defaultRowHeight="16"/>
  <cols>
    <col min="1" max="1" width="20.83203125" style="7" customWidth="1"/>
    <col min="2" max="2" width="10.33203125" style="8" customWidth="1"/>
    <col min="3" max="5" width="10" style="8" customWidth="1"/>
    <col min="6" max="6" width="10.83203125" style="22"/>
    <col min="7" max="7" width="10.83203125" style="36"/>
    <col min="8" max="8" width="10.83203125" style="22"/>
    <col min="9" max="9" width="19.1640625" style="22" customWidth="1"/>
    <col min="10" max="12" width="10.83203125" style="9"/>
    <col min="13" max="15" width="10.83203125" style="10"/>
    <col min="16" max="18" width="10.83203125" style="11"/>
    <col min="19" max="21" width="10.83203125" style="12"/>
    <col min="22" max="24" width="10.83203125" style="43"/>
    <col min="26" max="29" width="10.83203125" style="7"/>
    <col min="30" max="30" width="11" customWidth="1"/>
    <col min="31" max="16384" width="10.83203125" style="7"/>
  </cols>
  <sheetData>
    <row r="1" spans="1:30" s="1" customFormat="1" ht="75.75" customHeight="1">
      <c r="A1" s="1" t="s">
        <v>6</v>
      </c>
      <c r="B1" s="2" t="s">
        <v>743</v>
      </c>
      <c r="C1" s="2" t="s">
        <v>744</v>
      </c>
      <c r="D1" s="2" t="s">
        <v>745</v>
      </c>
      <c r="E1" s="2" t="s">
        <v>746</v>
      </c>
      <c r="F1" s="1" t="s">
        <v>806</v>
      </c>
      <c r="G1" s="34" t="s">
        <v>748</v>
      </c>
      <c r="H1" s="1" t="s">
        <v>807</v>
      </c>
      <c r="I1" s="1" t="s">
        <v>761</v>
      </c>
      <c r="J1" s="3" t="s">
        <v>862</v>
      </c>
      <c r="K1" s="3" t="s">
        <v>863</v>
      </c>
      <c r="L1" s="3" t="s">
        <v>864</v>
      </c>
      <c r="M1" s="4" t="s">
        <v>749</v>
      </c>
      <c r="N1" s="4" t="s">
        <v>750</v>
      </c>
      <c r="O1" s="4" t="s">
        <v>751</v>
      </c>
      <c r="P1" s="5" t="s">
        <v>865</v>
      </c>
      <c r="Q1" s="5" t="s">
        <v>866</v>
      </c>
      <c r="R1" s="5" t="s">
        <v>867</v>
      </c>
      <c r="S1" s="6" t="s">
        <v>886</v>
      </c>
      <c r="T1" s="6" t="s">
        <v>887</v>
      </c>
      <c r="U1" s="6" t="s">
        <v>756</v>
      </c>
      <c r="V1" s="6" t="s">
        <v>888</v>
      </c>
      <c r="W1" s="6" t="s">
        <v>889</v>
      </c>
      <c r="X1" s="6" t="s">
        <v>890</v>
      </c>
      <c r="Y1" s="1" t="s">
        <v>760</v>
      </c>
    </row>
    <row r="2" spans="1:30" s="49" customFormat="1" ht="19">
      <c r="A2" s="44" t="s">
        <v>827</v>
      </c>
      <c r="B2" s="51">
        <v>0.5</v>
      </c>
      <c r="C2" s="45"/>
      <c r="D2" s="45"/>
      <c r="E2" s="45"/>
      <c r="F2" s="46"/>
      <c r="G2" s="47"/>
      <c r="H2" s="46"/>
      <c r="I2" s="46"/>
      <c r="J2" s="307">
        <v>27</v>
      </c>
      <c r="K2" s="308"/>
      <c r="L2" s="309"/>
      <c r="M2" s="298">
        <v>15</v>
      </c>
      <c r="N2" s="299"/>
      <c r="O2" s="300"/>
      <c r="P2" s="301">
        <v>8</v>
      </c>
      <c r="Q2" s="302"/>
      <c r="R2" s="303"/>
      <c r="S2" s="304">
        <v>30</v>
      </c>
      <c r="T2" s="305"/>
      <c r="U2" s="306"/>
      <c r="V2" s="283">
        <v>5</v>
      </c>
      <c r="W2" s="284"/>
      <c r="X2" s="285"/>
      <c r="Y2" s="48">
        <v>0</v>
      </c>
      <c r="Z2" s="48">
        <v>0</v>
      </c>
      <c r="AA2" s="48">
        <v>0</v>
      </c>
      <c r="AB2" s="48">
        <v>0</v>
      </c>
      <c r="AC2" s="48">
        <v>0</v>
      </c>
    </row>
    <row r="3" spans="1:30" s="49" customFormat="1" ht="19">
      <c r="A3" s="44" t="s">
        <v>157</v>
      </c>
      <c r="B3" s="51"/>
      <c r="C3" s="45"/>
      <c r="D3" s="45"/>
      <c r="E3" s="45"/>
      <c r="F3" s="46"/>
      <c r="G3" s="47"/>
      <c r="H3" s="46"/>
      <c r="I3" s="46"/>
      <c r="J3" s="225"/>
      <c r="K3" s="226"/>
      <c r="L3" s="227"/>
      <c r="M3" s="216"/>
      <c r="N3" s="217"/>
      <c r="O3" s="218"/>
      <c r="P3" s="219"/>
      <c r="Q3" s="220"/>
      <c r="R3" s="221"/>
      <c r="S3" s="222"/>
      <c r="T3" s="223"/>
      <c r="U3" s="224"/>
      <c r="V3" s="213"/>
      <c r="W3" s="214"/>
      <c r="X3" s="215"/>
      <c r="Y3" s="48"/>
      <c r="Z3" s="48"/>
      <c r="AA3" s="48"/>
      <c r="AB3" s="48"/>
      <c r="AC3" s="48"/>
      <c r="AD3" s="58"/>
    </row>
    <row r="4" spans="1:30">
      <c r="A4" s="7" t="s">
        <v>849</v>
      </c>
      <c r="B4" s="8">
        <f t="shared" ref="B4:B6" si="0">C4*(1+$B$2)</f>
        <v>5.9250000000000007</v>
      </c>
      <c r="C4" s="8">
        <f t="shared" ref="C4:C42" si="1">AVERAGE(D4:E4)</f>
        <v>3.95</v>
      </c>
      <c r="E4" s="8">
        <v>3.95</v>
      </c>
      <c r="F4" s="22">
        <v>15</v>
      </c>
      <c r="G4" s="36">
        <f>(J4*$J$2)+(M4*$M$2)+(P4*$P$2)+(S4*$S$2)+(V4*$V$2)+(Y4*$Y$2)+(Z4*$Z$2)+(AA4*$AA$2)+(AB4*$AB$2)+(AC4*$AC$2)</f>
        <v>0</v>
      </c>
      <c r="H4" s="22">
        <f t="shared" ref="H4:H6" si="2">SUM(F4,-G4)</f>
        <v>15</v>
      </c>
      <c r="I4" s="22" t="s">
        <v>765</v>
      </c>
      <c r="K4" s="14">
        <f t="shared" ref="K4:K42" si="3">J4*C4</f>
        <v>0</v>
      </c>
      <c r="L4" s="14">
        <f t="shared" ref="L4:L42" si="4">J4*B4</f>
        <v>0</v>
      </c>
      <c r="N4" s="15">
        <f t="shared" ref="N4:N42" si="5">M4*C4</f>
        <v>0</v>
      </c>
      <c r="O4" s="15">
        <f t="shared" ref="O4:O42" si="6">M4*B4</f>
        <v>0</v>
      </c>
      <c r="Q4" s="16">
        <f t="shared" ref="Q4:Q42" si="7">P4*C4</f>
        <v>0</v>
      </c>
      <c r="R4" s="16">
        <f t="shared" ref="R4:R42" si="8">P4*B4</f>
        <v>0</v>
      </c>
      <c r="T4" s="17">
        <f t="shared" ref="T4:T42" si="9">S4*C4</f>
        <v>0</v>
      </c>
      <c r="U4" s="17">
        <f t="shared" ref="U4:U42" si="10">S4*B4</f>
        <v>0</v>
      </c>
      <c r="V4" s="39"/>
      <c r="W4" s="38">
        <f>V4*C4</f>
        <v>0</v>
      </c>
      <c r="X4" s="38">
        <f>V4*B4</f>
        <v>0</v>
      </c>
      <c r="Y4" s="7">
        <v>20</v>
      </c>
    </row>
    <row r="5" spans="1:30">
      <c r="A5" s="7" t="s">
        <v>860</v>
      </c>
      <c r="B5" s="8">
        <f t="shared" si="0"/>
        <v>3.9749999999999996</v>
      </c>
      <c r="C5" s="8">
        <f t="shared" si="1"/>
        <v>2.65</v>
      </c>
      <c r="E5" s="8">
        <v>2.65</v>
      </c>
      <c r="G5" s="36">
        <f t="shared" ref="G5:G52" si="11">(J5*$J$2)+(M5*$M$2)+(P5*$P$2)+(S5*$S$2)+(V5*$V$2)+(Y5*$Y$2)+(Z5*$Z$2)+(AA5*$AA$2)+(AB5*$AB$2)+(AC5*$AC$2)</f>
        <v>0</v>
      </c>
      <c r="H5" s="22">
        <f t="shared" si="2"/>
        <v>0</v>
      </c>
      <c r="I5" s="22" t="s">
        <v>765</v>
      </c>
      <c r="K5" s="14">
        <f t="shared" si="3"/>
        <v>0</v>
      </c>
      <c r="L5" s="14">
        <f t="shared" si="4"/>
        <v>0</v>
      </c>
      <c r="N5" s="15">
        <f t="shared" si="5"/>
        <v>0</v>
      </c>
      <c r="O5" s="15">
        <f t="shared" si="6"/>
        <v>0</v>
      </c>
      <c r="Q5" s="16">
        <f t="shared" si="7"/>
        <v>0</v>
      </c>
      <c r="R5" s="16">
        <f t="shared" si="8"/>
        <v>0</v>
      </c>
      <c r="T5" s="17">
        <f t="shared" si="9"/>
        <v>0</v>
      </c>
      <c r="U5" s="17">
        <f t="shared" si="10"/>
        <v>0</v>
      </c>
      <c r="V5" s="39"/>
      <c r="W5" s="38">
        <f>V5*C5</f>
        <v>0</v>
      </c>
      <c r="X5" s="38">
        <f>V5*B5</f>
        <v>0</v>
      </c>
      <c r="Y5" s="7"/>
    </row>
    <row r="6" spans="1:30">
      <c r="A6" s="7" t="s">
        <v>850</v>
      </c>
      <c r="B6" s="8">
        <f t="shared" si="0"/>
        <v>5.4749999999999996</v>
      </c>
      <c r="C6" s="8">
        <f t="shared" si="1"/>
        <v>3.65</v>
      </c>
      <c r="E6" s="8">
        <v>3.65</v>
      </c>
      <c r="F6" s="22">
        <v>10</v>
      </c>
      <c r="G6" s="36">
        <f t="shared" si="11"/>
        <v>0</v>
      </c>
      <c r="H6" s="22">
        <f t="shared" si="2"/>
        <v>10</v>
      </c>
      <c r="I6" s="22" t="s">
        <v>765</v>
      </c>
      <c r="K6" s="14">
        <f t="shared" si="3"/>
        <v>0</v>
      </c>
      <c r="L6" s="14">
        <f t="shared" si="4"/>
        <v>0</v>
      </c>
      <c r="N6" s="15">
        <f t="shared" si="5"/>
        <v>0</v>
      </c>
      <c r="O6" s="15">
        <f t="shared" si="6"/>
        <v>0</v>
      </c>
      <c r="Q6" s="16">
        <f t="shared" si="7"/>
        <v>0</v>
      </c>
      <c r="R6" s="16">
        <f t="shared" si="8"/>
        <v>0</v>
      </c>
      <c r="T6" s="17">
        <f t="shared" si="9"/>
        <v>0</v>
      </c>
      <c r="U6" s="17">
        <f t="shared" si="10"/>
        <v>0</v>
      </c>
      <c r="V6" s="39"/>
      <c r="W6" s="38">
        <f t="shared" ref="W6:W42" si="12">V6*C6</f>
        <v>0</v>
      </c>
      <c r="X6" s="38">
        <f t="shared" ref="X6:X42" si="13">V6*B6</f>
        <v>0</v>
      </c>
      <c r="Y6" s="7"/>
    </row>
    <row r="7" spans="1:30">
      <c r="A7" s="7" t="s">
        <v>852</v>
      </c>
      <c r="B7" s="8">
        <f>C7*(1+$B$2)</f>
        <v>3.6750000000000003</v>
      </c>
      <c r="C7" s="8">
        <f>AVERAGE(D7:E7)</f>
        <v>2.4500000000000002</v>
      </c>
      <c r="E7" s="8">
        <v>2.4500000000000002</v>
      </c>
      <c r="F7" s="22">
        <v>130</v>
      </c>
      <c r="G7" s="36">
        <f t="shared" si="11"/>
        <v>57</v>
      </c>
      <c r="H7" s="22">
        <f>SUM(F7,-G7)</f>
        <v>73</v>
      </c>
      <c r="I7" s="22" t="s">
        <v>765</v>
      </c>
      <c r="J7" s="9">
        <v>1</v>
      </c>
      <c r="K7" s="14">
        <f>J7*C7</f>
        <v>2.4500000000000002</v>
      </c>
      <c r="L7" s="14">
        <f>J7*B7</f>
        <v>3.6750000000000003</v>
      </c>
      <c r="M7" s="63">
        <v>2</v>
      </c>
      <c r="N7" s="15">
        <f>M7*C7</f>
        <v>4.9000000000000004</v>
      </c>
      <c r="O7" s="15">
        <f>M7*B7</f>
        <v>7.3500000000000005</v>
      </c>
      <c r="Q7" s="16">
        <f>P7*C7</f>
        <v>0</v>
      </c>
      <c r="R7" s="16">
        <f>P7*B7</f>
        <v>0</v>
      </c>
      <c r="T7" s="17">
        <f>S7*C7</f>
        <v>0</v>
      </c>
      <c r="U7" s="17">
        <f>S7*B7</f>
        <v>0</v>
      </c>
      <c r="V7" s="39"/>
      <c r="W7" s="38">
        <f>V7*C7</f>
        <v>0</v>
      </c>
      <c r="X7" s="38">
        <f>V7*B7</f>
        <v>0</v>
      </c>
      <c r="Y7" s="7">
        <v>20</v>
      </c>
    </row>
    <row r="8" spans="1:30">
      <c r="A8" s="7" t="s">
        <v>851</v>
      </c>
      <c r="B8" s="8">
        <f>C8*(1+$B$2)</f>
        <v>3.42</v>
      </c>
      <c r="C8" s="8">
        <f>AVERAGE(D8:E8)</f>
        <v>2.2799999999999998</v>
      </c>
      <c r="E8" s="8">
        <v>2.2799999999999998</v>
      </c>
      <c r="F8" s="22">
        <v>20</v>
      </c>
      <c r="G8" s="36">
        <f t="shared" si="11"/>
        <v>0</v>
      </c>
      <c r="H8" s="22">
        <f>SUM(F8,-G8)</f>
        <v>20</v>
      </c>
      <c r="I8" s="22" t="s">
        <v>765</v>
      </c>
      <c r="K8" s="14">
        <f>J8*C8</f>
        <v>0</v>
      </c>
      <c r="L8" s="14">
        <f>J8*B8</f>
        <v>0</v>
      </c>
      <c r="N8" s="15">
        <f>M8*C8</f>
        <v>0</v>
      </c>
      <c r="O8" s="15">
        <f>M8*B8</f>
        <v>0</v>
      </c>
      <c r="Q8" s="16">
        <f>P8*C8</f>
        <v>0</v>
      </c>
      <c r="R8" s="16">
        <f>P8*B8</f>
        <v>0</v>
      </c>
      <c r="T8" s="17">
        <f>S8*C8</f>
        <v>0</v>
      </c>
      <c r="U8" s="17">
        <f>S8*B8</f>
        <v>0</v>
      </c>
      <c r="V8" s="39"/>
      <c r="W8" s="38">
        <f>V8*C8</f>
        <v>0</v>
      </c>
      <c r="X8" s="38">
        <f>V8*B8</f>
        <v>0</v>
      </c>
      <c r="Y8" s="7"/>
    </row>
    <row r="9" spans="1:30">
      <c r="J9" s="62"/>
    </row>
    <row r="10" spans="1:30" ht="19">
      <c r="A10" s="44" t="s">
        <v>731</v>
      </c>
      <c r="J10" s="228"/>
      <c r="K10" s="229"/>
      <c r="L10" s="229"/>
      <c r="M10" s="232"/>
      <c r="N10" s="232"/>
      <c r="O10" s="233"/>
      <c r="Q10" s="16"/>
      <c r="R10" s="16"/>
      <c r="T10" s="17"/>
      <c r="U10" s="17"/>
      <c r="V10" s="39"/>
      <c r="W10" s="38"/>
      <c r="X10" s="38"/>
      <c r="Y10" s="7"/>
    </row>
    <row r="11" spans="1:30">
      <c r="A11" s="7" t="s">
        <v>873</v>
      </c>
      <c r="B11" s="8">
        <f>C11*(1+$B$2)</f>
        <v>1.6500000000000001</v>
      </c>
      <c r="C11" s="8">
        <f>AVERAGE(D11:E11)</f>
        <v>1.1000000000000001</v>
      </c>
      <c r="E11" s="13">
        <v>1.1000000000000001</v>
      </c>
      <c r="F11" s="22">
        <v>55</v>
      </c>
      <c r="G11" s="36">
        <f t="shared" si="11"/>
        <v>46.95</v>
      </c>
      <c r="H11" s="22">
        <f>SUM(F11,-G11)</f>
        <v>8.0499999999999972</v>
      </c>
      <c r="J11" s="9">
        <v>1</v>
      </c>
      <c r="K11" s="14">
        <f>J11*C11</f>
        <v>1.1000000000000001</v>
      </c>
      <c r="L11" s="14">
        <f>J11*B11</f>
        <v>1.6500000000000001</v>
      </c>
      <c r="M11" s="10">
        <v>1.33</v>
      </c>
      <c r="N11" s="15">
        <f>M11*C11</f>
        <v>1.4630000000000003</v>
      </c>
      <c r="O11" s="15">
        <f>M11*B11</f>
        <v>2.1945000000000001</v>
      </c>
      <c r="Q11" s="16">
        <f>P11*C11</f>
        <v>0</v>
      </c>
      <c r="R11" s="16">
        <f>P11*B11</f>
        <v>0</v>
      </c>
      <c r="T11" s="17">
        <f>S11*C11</f>
        <v>0</v>
      </c>
      <c r="U11" s="17">
        <f>S11*B11</f>
        <v>0</v>
      </c>
      <c r="V11" s="39"/>
      <c r="W11" s="38">
        <f>V11*C11</f>
        <v>0</v>
      </c>
      <c r="X11" s="38">
        <f>V11*B11</f>
        <v>0</v>
      </c>
      <c r="Y11" s="7"/>
    </row>
    <row r="12" spans="1:30">
      <c r="A12" s="7" t="s">
        <v>861</v>
      </c>
      <c r="B12" s="8">
        <f>C12*(1+$B$2)</f>
        <v>2.25</v>
      </c>
      <c r="C12" s="8">
        <f>AVERAGE(D12:E12)</f>
        <v>1.5</v>
      </c>
      <c r="D12" s="8">
        <v>1.5</v>
      </c>
      <c r="E12" s="8">
        <v>1.5</v>
      </c>
      <c r="F12" s="22">
        <v>0</v>
      </c>
      <c r="G12" s="36">
        <f t="shared" ref="G12" si="14">(J12*$J$2)+(M12*$M$2)+(P12*$P$2)+(S12*$S$2)+(V12*$V$2)+(Y12*$Y$2)+(Z12*$Z$2)+(AA12*$AA$2)+(AB12*$AB$2)+(AC12*$AC$2)</f>
        <v>0</v>
      </c>
      <c r="H12" s="22">
        <f>SUM(F12,-G12)</f>
        <v>0</v>
      </c>
      <c r="K12" s="14">
        <f>J12*C12</f>
        <v>0</v>
      </c>
      <c r="L12" s="14">
        <f>J12*B12</f>
        <v>0</v>
      </c>
      <c r="N12" s="15">
        <f>M12*C12</f>
        <v>0</v>
      </c>
      <c r="O12" s="15">
        <f>M12*B12</f>
        <v>0</v>
      </c>
      <c r="Q12" s="16">
        <f>P12*C12</f>
        <v>0</v>
      </c>
      <c r="R12" s="16">
        <f>P12*B12</f>
        <v>0</v>
      </c>
      <c r="T12" s="17">
        <f>S12*C12</f>
        <v>0</v>
      </c>
      <c r="U12" s="17">
        <f>S12*B12</f>
        <v>0</v>
      </c>
      <c r="V12" s="39"/>
      <c r="W12" s="38">
        <f>V12*C12</f>
        <v>0</v>
      </c>
      <c r="X12" s="38">
        <f>V12*B12</f>
        <v>0</v>
      </c>
      <c r="Y12" s="7"/>
    </row>
    <row r="13" spans="1:30">
      <c r="A13" s="7" t="s">
        <v>875</v>
      </c>
      <c r="B13" s="8">
        <f t="shared" ref="B13:B19" si="15">C13*(1+$B$2)</f>
        <v>1.5750000000000002</v>
      </c>
      <c r="C13" s="8">
        <f t="shared" ref="C13:C19" si="16">AVERAGE(D13:E13)</f>
        <v>1.05</v>
      </c>
      <c r="D13" s="8">
        <v>1.1000000000000001</v>
      </c>
      <c r="E13" s="8">
        <v>1</v>
      </c>
      <c r="F13" s="22">
        <v>120</v>
      </c>
      <c r="G13" s="36">
        <f t="shared" si="11"/>
        <v>46.95</v>
      </c>
      <c r="H13" s="22">
        <f t="shared" ref="H13:H19" si="17">SUM(F13,-G13)</f>
        <v>73.05</v>
      </c>
      <c r="J13" s="9">
        <v>1</v>
      </c>
      <c r="K13" s="14">
        <f t="shared" ref="K13:K19" si="18">J13*C13</f>
        <v>1.05</v>
      </c>
      <c r="L13" s="14">
        <f t="shared" ref="L13:L19" si="19">J13*B13</f>
        <v>1.5750000000000002</v>
      </c>
      <c r="M13" s="10">
        <v>1.33</v>
      </c>
      <c r="N13" s="15">
        <f t="shared" ref="N13:N19" si="20">M13*C13</f>
        <v>1.3965000000000001</v>
      </c>
      <c r="O13" s="15">
        <f t="shared" ref="O13:O19" si="21">M13*B13</f>
        <v>2.0947500000000003</v>
      </c>
      <c r="Q13" s="16">
        <f t="shared" ref="Q13:Q19" si="22">P13*C13</f>
        <v>0</v>
      </c>
      <c r="R13" s="16">
        <f t="shared" ref="R13:R19" si="23">P13*B13</f>
        <v>0</v>
      </c>
      <c r="T13" s="17">
        <f t="shared" ref="T13:T19" si="24">S13*C13</f>
        <v>0</v>
      </c>
      <c r="U13" s="17">
        <f t="shared" ref="U13:U19" si="25">S13*B13</f>
        <v>0</v>
      </c>
      <c r="V13" s="39"/>
      <c r="W13" s="38">
        <f t="shared" ref="W13:W19" si="26">V13*C13</f>
        <v>0</v>
      </c>
      <c r="X13" s="38">
        <f t="shared" ref="X13:X19" si="27">V13*B13</f>
        <v>0</v>
      </c>
      <c r="Y13" s="7"/>
    </row>
    <row r="14" spans="1:30">
      <c r="A14" s="7" t="s">
        <v>876</v>
      </c>
      <c r="B14" s="8">
        <f t="shared" si="15"/>
        <v>1.875</v>
      </c>
      <c r="C14" s="8">
        <f t="shared" si="16"/>
        <v>1.25</v>
      </c>
      <c r="D14" s="60">
        <v>1.25</v>
      </c>
      <c r="F14" s="22">
        <v>70</v>
      </c>
      <c r="G14" s="36">
        <f t="shared" si="11"/>
        <v>25</v>
      </c>
      <c r="H14" s="22">
        <f t="shared" si="17"/>
        <v>45</v>
      </c>
      <c r="K14" s="14">
        <f t="shared" si="18"/>
        <v>0</v>
      </c>
      <c r="L14" s="14">
        <f t="shared" si="19"/>
        <v>0</v>
      </c>
      <c r="N14" s="15">
        <f t="shared" si="20"/>
        <v>0</v>
      </c>
      <c r="O14" s="15">
        <f t="shared" si="21"/>
        <v>0</v>
      </c>
      <c r="Q14" s="16">
        <f t="shared" si="22"/>
        <v>0</v>
      </c>
      <c r="R14" s="16">
        <f t="shared" si="23"/>
        <v>0</v>
      </c>
      <c r="T14" s="17">
        <f t="shared" si="24"/>
        <v>0</v>
      </c>
      <c r="U14" s="17">
        <f t="shared" si="25"/>
        <v>0</v>
      </c>
      <c r="V14" s="39">
        <v>5</v>
      </c>
      <c r="W14" s="38">
        <f t="shared" si="26"/>
        <v>6.25</v>
      </c>
      <c r="X14" s="38">
        <f t="shared" si="27"/>
        <v>9.375</v>
      </c>
      <c r="Y14" s="7"/>
    </row>
    <row r="15" spans="1:30">
      <c r="A15" s="7" t="s">
        <v>891</v>
      </c>
      <c r="B15" s="8">
        <f t="shared" si="15"/>
        <v>1.875</v>
      </c>
      <c r="C15" s="8">
        <f t="shared" si="16"/>
        <v>1.25</v>
      </c>
      <c r="D15" s="60">
        <v>1.25</v>
      </c>
      <c r="G15" s="36">
        <f t="shared" ref="G15" si="28">(J15*$J$2)+(M15*$M$2)+(P15*$P$2)+(S15*$S$2)+(V15*$V$2)+(Y15*$Y$2)+(Z15*$Z$2)+(AA15*$AA$2)+(AB15*$AB$2)+(AC15*$AC$2)</f>
        <v>0</v>
      </c>
      <c r="H15" s="22">
        <f t="shared" ref="H15" si="29">SUM(F15,-G15)</f>
        <v>0</v>
      </c>
      <c r="K15" s="14">
        <f t="shared" ref="K15" si="30">J15*C15</f>
        <v>0</v>
      </c>
      <c r="L15" s="14">
        <f t="shared" ref="L15" si="31">J15*B15</f>
        <v>0</v>
      </c>
      <c r="N15" s="15">
        <f t="shared" ref="N15" si="32">M15*C15</f>
        <v>0</v>
      </c>
      <c r="O15" s="15">
        <f t="shared" ref="O15" si="33">M15*B15</f>
        <v>0</v>
      </c>
      <c r="Q15" s="16">
        <f t="shared" ref="Q15" si="34">P15*C15</f>
        <v>0</v>
      </c>
      <c r="R15" s="16">
        <f t="shared" ref="R15" si="35">P15*B15</f>
        <v>0</v>
      </c>
      <c r="T15" s="17">
        <f t="shared" ref="T15" si="36">S15*C15</f>
        <v>0</v>
      </c>
      <c r="U15" s="17">
        <f t="shared" ref="U15" si="37">S15*B15</f>
        <v>0</v>
      </c>
      <c r="V15" s="39"/>
      <c r="W15" s="38">
        <f t="shared" ref="W15" si="38">V15*C15</f>
        <v>0</v>
      </c>
      <c r="X15" s="38">
        <f t="shared" ref="X15" si="39">V15*B15</f>
        <v>0</v>
      </c>
      <c r="Y15" s="7"/>
    </row>
    <row r="16" spans="1:30">
      <c r="A16" s="7" t="s">
        <v>877</v>
      </c>
      <c r="B16" s="8">
        <f t="shared" si="15"/>
        <v>1.6500000000000001</v>
      </c>
      <c r="C16" s="8">
        <f t="shared" si="16"/>
        <v>1.1000000000000001</v>
      </c>
      <c r="D16" s="60">
        <v>1.1000000000000001</v>
      </c>
      <c r="F16" s="22">
        <v>80</v>
      </c>
      <c r="G16" s="36">
        <f t="shared" si="11"/>
        <v>46.95</v>
      </c>
      <c r="H16" s="22">
        <f t="shared" si="17"/>
        <v>33.049999999999997</v>
      </c>
      <c r="J16" s="9">
        <v>1</v>
      </c>
      <c r="K16" s="14">
        <f t="shared" si="18"/>
        <v>1.1000000000000001</v>
      </c>
      <c r="L16" s="14">
        <f t="shared" si="19"/>
        <v>1.6500000000000001</v>
      </c>
      <c r="M16" s="10">
        <v>1.33</v>
      </c>
      <c r="N16" s="15">
        <f t="shared" si="20"/>
        <v>1.4630000000000003</v>
      </c>
      <c r="O16" s="15">
        <f t="shared" si="21"/>
        <v>2.1945000000000001</v>
      </c>
      <c r="Q16" s="16">
        <f t="shared" si="22"/>
        <v>0</v>
      </c>
      <c r="R16" s="16">
        <f t="shared" si="23"/>
        <v>0</v>
      </c>
      <c r="T16" s="17">
        <f t="shared" si="24"/>
        <v>0</v>
      </c>
      <c r="U16" s="17">
        <f t="shared" si="25"/>
        <v>0</v>
      </c>
      <c r="V16" s="39"/>
      <c r="W16" s="38">
        <f t="shared" si="26"/>
        <v>0</v>
      </c>
      <c r="X16" s="38">
        <f t="shared" si="27"/>
        <v>0</v>
      </c>
      <c r="Y16" s="7"/>
    </row>
    <row r="17" spans="1:25" ht="19">
      <c r="A17" s="44" t="s">
        <v>734</v>
      </c>
      <c r="K17" s="14"/>
      <c r="L17" s="14"/>
      <c r="M17" s="231"/>
      <c r="N17" s="232"/>
      <c r="O17" s="233"/>
      <c r="Q17" s="16"/>
      <c r="R17" s="16"/>
      <c r="T17" s="17"/>
      <c r="U17" s="17"/>
      <c r="V17" s="237"/>
      <c r="W17" s="238"/>
      <c r="X17" s="239"/>
      <c r="Y17" s="7"/>
    </row>
    <row r="18" spans="1:25">
      <c r="A18" s="7" t="s">
        <v>770</v>
      </c>
      <c r="B18" s="8">
        <f t="shared" si="15"/>
        <v>2.1749999999999998</v>
      </c>
      <c r="C18" s="8">
        <f t="shared" ref="C18" si="40">AVERAGE(D18:E18)</f>
        <v>1.45</v>
      </c>
      <c r="D18" s="8">
        <v>1.4</v>
      </c>
      <c r="E18" s="8">
        <v>1.5</v>
      </c>
      <c r="F18" s="22">
        <v>100</v>
      </c>
      <c r="G18" s="36">
        <f t="shared" si="11"/>
        <v>25.32</v>
      </c>
      <c r="H18" s="22">
        <f t="shared" ref="H18" si="41">SUM(F18,-G18)</f>
        <v>74.680000000000007</v>
      </c>
      <c r="J18" s="9">
        <v>0.66</v>
      </c>
      <c r="K18" s="14">
        <f t="shared" ref="K18" si="42">J18*C18</f>
        <v>0.95699999999999996</v>
      </c>
      <c r="L18" s="14">
        <f t="shared" ref="L18" si="43">J18*B18</f>
        <v>1.4355</v>
      </c>
      <c r="M18" s="10">
        <v>0.5</v>
      </c>
      <c r="N18" s="15">
        <f t="shared" ref="N18" si="44">M18*C18</f>
        <v>0.72499999999999998</v>
      </c>
      <c r="O18" s="15">
        <f t="shared" ref="O18" si="45">M18*B18</f>
        <v>1.0874999999999999</v>
      </c>
      <c r="Q18" s="16">
        <f t="shared" ref="Q18" si="46">P18*C18</f>
        <v>0</v>
      </c>
      <c r="R18" s="16">
        <f t="shared" ref="R18" si="47">P18*B18</f>
        <v>0</v>
      </c>
      <c r="T18" s="17">
        <f t="shared" ref="T18" si="48">S18*C18</f>
        <v>0</v>
      </c>
      <c r="U18" s="17">
        <f t="shared" ref="U18" si="49">S18*B18</f>
        <v>0</v>
      </c>
      <c r="V18" s="39"/>
      <c r="W18" s="38">
        <f t="shared" ref="W18" si="50">V18*C18</f>
        <v>0</v>
      </c>
      <c r="X18" s="38">
        <f t="shared" ref="X18" si="51">V18*B18</f>
        <v>0</v>
      </c>
      <c r="Y18" s="7"/>
    </row>
    <row r="19" spans="1:25">
      <c r="A19" s="7" t="s">
        <v>771</v>
      </c>
      <c r="B19" s="8">
        <f t="shared" si="15"/>
        <v>2.5499999999999998</v>
      </c>
      <c r="C19" s="8">
        <f t="shared" si="16"/>
        <v>1.7</v>
      </c>
      <c r="D19" s="8">
        <v>1.4</v>
      </c>
      <c r="E19" s="8">
        <v>2</v>
      </c>
      <c r="G19" s="36">
        <f t="shared" si="11"/>
        <v>0</v>
      </c>
      <c r="H19" s="22">
        <f t="shared" si="17"/>
        <v>0</v>
      </c>
      <c r="K19" s="14">
        <f t="shared" si="18"/>
        <v>0</v>
      </c>
      <c r="L19" s="14">
        <f t="shared" si="19"/>
        <v>0</v>
      </c>
      <c r="N19" s="15">
        <f t="shared" si="20"/>
        <v>0</v>
      </c>
      <c r="O19" s="15">
        <f t="shared" si="21"/>
        <v>0</v>
      </c>
      <c r="Q19" s="16">
        <f t="shared" si="22"/>
        <v>0</v>
      </c>
      <c r="R19" s="16">
        <f t="shared" si="23"/>
        <v>0</v>
      </c>
      <c r="T19" s="17">
        <f t="shared" si="24"/>
        <v>0</v>
      </c>
      <c r="U19" s="17">
        <f t="shared" si="25"/>
        <v>0</v>
      </c>
      <c r="V19" s="39"/>
      <c r="W19" s="38">
        <f t="shared" si="26"/>
        <v>0</v>
      </c>
      <c r="X19" s="38">
        <f t="shared" si="27"/>
        <v>0</v>
      </c>
      <c r="Y19" s="7"/>
    </row>
    <row r="20" spans="1:25">
      <c r="A20" s="7" t="s">
        <v>772</v>
      </c>
      <c r="B20" s="8">
        <f>C20*(1+$B$2)</f>
        <v>2.5875000000000004</v>
      </c>
      <c r="C20" s="8">
        <f>AVERAGE(D20:E20)</f>
        <v>1.7250000000000001</v>
      </c>
      <c r="D20" s="8">
        <v>1.55</v>
      </c>
      <c r="E20" s="8">
        <v>1.9</v>
      </c>
      <c r="G20" s="36">
        <f t="shared" si="11"/>
        <v>0</v>
      </c>
      <c r="H20" s="22">
        <f>SUM(F20,-G20)</f>
        <v>0</v>
      </c>
      <c r="K20" s="14">
        <f>J20*C20</f>
        <v>0</v>
      </c>
      <c r="L20" s="14">
        <f>J20*B20</f>
        <v>0</v>
      </c>
      <c r="N20" s="15">
        <f>M20*C20</f>
        <v>0</v>
      </c>
      <c r="O20" s="15">
        <f>M20*B20</f>
        <v>0</v>
      </c>
      <c r="Q20" s="16">
        <f>P20*C20</f>
        <v>0</v>
      </c>
      <c r="R20" s="16">
        <f>P20*B20</f>
        <v>0</v>
      </c>
      <c r="T20" s="17">
        <f>S20*C20</f>
        <v>0</v>
      </c>
      <c r="U20" s="17">
        <f>S20*B20</f>
        <v>0</v>
      </c>
      <c r="V20" s="39"/>
      <c r="W20" s="38">
        <f>V20*C20</f>
        <v>0</v>
      </c>
      <c r="X20" s="38">
        <f>V20*B20</f>
        <v>0</v>
      </c>
      <c r="Y20" s="7"/>
    </row>
    <row r="21" spans="1:25">
      <c r="A21" s="7" t="s">
        <v>773</v>
      </c>
      <c r="B21" s="8">
        <f>C21*(1+$B$2)</f>
        <v>1.5</v>
      </c>
      <c r="C21" s="8">
        <f>AVERAGE(D21:E21)</f>
        <v>1</v>
      </c>
      <c r="D21" s="13">
        <v>1</v>
      </c>
      <c r="G21" s="36">
        <f t="shared" si="11"/>
        <v>0</v>
      </c>
      <c r="H21" s="22">
        <f>SUM(F21,-G21)</f>
        <v>0</v>
      </c>
      <c r="K21" s="14">
        <f>J21*C21</f>
        <v>0</v>
      </c>
      <c r="L21" s="14">
        <f>J21*B21</f>
        <v>0</v>
      </c>
      <c r="N21" s="15">
        <f>M21*C21</f>
        <v>0</v>
      </c>
      <c r="O21" s="15">
        <f>M21*B21</f>
        <v>0</v>
      </c>
      <c r="Q21" s="16">
        <f>P21*C21</f>
        <v>0</v>
      </c>
      <c r="R21" s="16">
        <f>P21*B21</f>
        <v>0</v>
      </c>
      <c r="T21" s="17">
        <f>S21*C21</f>
        <v>0</v>
      </c>
      <c r="U21" s="17">
        <f>S21*B21</f>
        <v>0</v>
      </c>
      <c r="V21" s="39"/>
      <c r="W21" s="38">
        <f>V21*C21</f>
        <v>0</v>
      </c>
      <c r="X21" s="38">
        <f>V21*B21</f>
        <v>0</v>
      </c>
      <c r="Y21" s="7"/>
    </row>
    <row r="22" spans="1:25">
      <c r="A22" s="7" t="s">
        <v>774</v>
      </c>
      <c r="B22" s="8">
        <f>C22*(1+$B$2)</f>
        <v>1.125</v>
      </c>
      <c r="C22" s="8">
        <f>AVERAGE(D22:E22)</f>
        <v>0.75</v>
      </c>
      <c r="D22" s="8">
        <v>0.75</v>
      </c>
      <c r="G22" s="36">
        <f t="shared" si="11"/>
        <v>0</v>
      </c>
      <c r="H22" s="22">
        <f>SUM(F22,-G22)</f>
        <v>0</v>
      </c>
      <c r="K22" s="14">
        <f>J22*C22</f>
        <v>0</v>
      </c>
      <c r="L22" s="14">
        <f>J22*B22</f>
        <v>0</v>
      </c>
      <c r="N22" s="15">
        <f>M22*C22</f>
        <v>0</v>
      </c>
      <c r="O22" s="15">
        <f>M22*B22</f>
        <v>0</v>
      </c>
      <c r="Q22" s="16">
        <f>P22*C22</f>
        <v>0</v>
      </c>
      <c r="R22" s="16">
        <f>P22*B22</f>
        <v>0</v>
      </c>
      <c r="T22" s="17">
        <f>S22*C22</f>
        <v>0</v>
      </c>
      <c r="U22" s="17">
        <f>S22*B22</f>
        <v>0</v>
      </c>
      <c r="V22" s="39"/>
      <c r="W22" s="38">
        <f>V22*C22</f>
        <v>0</v>
      </c>
      <c r="X22" s="38">
        <f>V22*B22</f>
        <v>0</v>
      </c>
      <c r="Y22" s="7"/>
    </row>
    <row r="23" spans="1:25">
      <c r="A23" s="7" t="s">
        <v>775</v>
      </c>
      <c r="B23" s="8">
        <f>C23*(1+$B$2)</f>
        <v>1.875</v>
      </c>
      <c r="C23" s="8">
        <f>AVERAGE(D23:E23)</f>
        <v>1.25</v>
      </c>
      <c r="D23" s="8">
        <v>1.1000000000000001</v>
      </c>
      <c r="E23" s="8">
        <v>1.4</v>
      </c>
      <c r="F23" s="22">
        <v>100</v>
      </c>
      <c r="G23" s="36">
        <f t="shared" si="11"/>
        <v>25.32</v>
      </c>
      <c r="H23" s="22">
        <f>SUM(F23,-G23)</f>
        <v>74.680000000000007</v>
      </c>
      <c r="J23" s="9">
        <v>0.66</v>
      </c>
      <c r="K23" s="14">
        <f>J23*C23</f>
        <v>0.82500000000000007</v>
      </c>
      <c r="L23" s="14">
        <f>J23*B23</f>
        <v>1.2375</v>
      </c>
      <c r="M23" s="10">
        <v>0.5</v>
      </c>
      <c r="N23" s="15">
        <f>M23*C23</f>
        <v>0.625</v>
      </c>
      <c r="O23" s="15">
        <f>M23*B23</f>
        <v>0.9375</v>
      </c>
      <c r="Q23" s="16">
        <f>P23*C23</f>
        <v>0</v>
      </c>
      <c r="R23" s="16">
        <f>P23*B23</f>
        <v>0</v>
      </c>
      <c r="T23" s="17">
        <f>S23*C23</f>
        <v>0</v>
      </c>
      <c r="U23" s="17">
        <f>S23*B23</f>
        <v>0</v>
      </c>
      <c r="V23" s="39"/>
      <c r="W23" s="38">
        <f>V23*C23</f>
        <v>0</v>
      </c>
      <c r="X23" s="38">
        <f>V23*B23</f>
        <v>0</v>
      </c>
      <c r="Y23" s="7"/>
    </row>
    <row r="24" spans="1:25">
      <c r="A24" s="7" t="s">
        <v>776</v>
      </c>
      <c r="B24" s="8">
        <f t="shared" ref="B24:B26" si="52">C24*(1+$B$2)</f>
        <v>1.5374999999999999</v>
      </c>
      <c r="C24" s="8">
        <f t="shared" ref="C24:C26" si="53">AVERAGE(D24:E24)</f>
        <v>1.0249999999999999</v>
      </c>
      <c r="D24" s="13">
        <v>0.75</v>
      </c>
      <c r="E24" s="8">
        <v>1.3</v>
      </c>
      <c r="F24" s="22">
        <v>500</v>
      </c>
      <c r="G24" s="36">
        <f t="shared" si="11"/>
        <v>414</v>
      </c>
      <c r="H24" s="22">
        <f t="shared" ref="H24:H26" si="54">SUM(F24,-G24)</f>
        <v>86</v>
      </c>
      <c r="J24" s="9">
        <v>2</v>
      </c>
      <c r="K24" s="14">
        <f t="shared" ref="K24:K26" si="55">J24*C24</f>
        <v>2.0499999999999998</v>
      </c>
      <c r="L24" s="14">
        <f t="shared" ref="L24:L26" si="56">J24*B24</f>
        <v>3.0749999999999997</v>
      </c>
      <c r="M24" s="10">
        <v>3</v>
      </c>
      <c r="N24" s="15">
        <f t="shared" ref="N24:N26" si="57">M24*C24</f>
        <v>3.0749999999999997</v>
      </c>
      <c r="O24" s="15">
        <f t="shared" ref="O24:O26" si="58">M24*B24</f>
        <v>4.6124999999999998</v>
      </c>
      <c r="Q24" s="16">
        <f t="shared" ref="Q24:Q26" si="59">P24*C24</f>
        <v>0</v>
      </c>
      <c r="R24" s="16">
        <f t="shared" ref="R24:R26" si="60">P24*B24</f>
        <v>0</v>
      </c>
      <c r="S24" s="12">
        <v>10</v>
      </c>
      <c r="T24" s="17">
        <f t="shared" ref="T24:T26" si="61">S24*C24</f>
        <v>10.25</v>
      </c>
      <c r="U24" s="17">
        <f t="shared" ref="U24:U26" si="62">S24*B24</f>
        <v>15.374999999999998</v>
      </c>
      <c r="V24" s="39">
        <v>3</v>
      </c>
      <c r="W24" s="38">
        <f t="shared" ref="W24:W26" si="63">V24*C24</f>
        <v>3.0749999999999997</v>
      </c>
      <c r="X24" s="38">
        <f t="shared" ref="X24:X26" si="64">V24*B24</f>
        <v>4.6124999999999998</v>
      </c>
      <c r="Y24" s="7"/>
    </row>
    <row r="25" spans="1:25">
      <c r="A25" s="7" t="s">
        <v>777</v>
      </c>
      <c r="B25" s="8">
        <f t="shared" si="52"/>
        <v>2.2874999999999996</v>
      </c>
      <c r="C25" s="8">
        <f t="shared" si="53"/>
        <v>1.5249999999999999</v>
      </c>
      <c r="D25" s="8">
        <v>1.25</v>
      </c>
      <c r="E25" s="8">
        <v>1.8</v>
      </c>
      <c r="F25" s="22">
        <v>200</v>
      </c>
      <c r="G25" s="36">
        <f t="shared" si="11"/>
        <v>147.82</v>
      </c>
      <c r="H25" s="22">
        <f t="shared" si="54"/>
        <v>52.180000000000007</v>
      </c>
      <c r="J25" s="9">
        <v>0.66</v>
      </c>
      <c r="K25" s="14">
        <f t="shared" si="55"/>
        <v>1.0065</v>
      </c>
      <c r="L25" s="14">
        <f t="shared" si="56"/>
        <v>1.5097499999999999</v>
      </c>
      <c r="M25" s="10">
        <v>2</v>
      </c>
      <c r="N25" s="15">
        <f t="shared" si="57"/>
        <v>3.05</v>
      </c>
      <c r="O25" s="15">
        <f t="shared" si="58"/>
        <v>4.5749999999999993</v>
      </c>
      <c r="Q25" s="16">
        <f t="shared" si="59"/>
        <v>0</v>
      </c>
      <c r="R25" s="16">
        <f t="shared" si="60"/>
        <v>0</v>
      </c>
      <c r="S25" s="12">
        <v>3</v>
      </c>
      <c r="T25" s="17">
        <f t="shared" si="61"/>
        <v>4.5749999999999993</v>
      </c>
      <c r="U25" s="17">
        <f t="shared" si="62"/>
        <v>6.8624999999999989</v>
      </c>
      <c r="V25" s="39">
        <v>2</v>
      </c>
      <c r="W25" s="38">
        <f t="shared" si="63"/>
        <v>3.05</v>
      </c>
      <c r="X25" s="38">
        <f t="shared" si="64"/>
        <v>4.5749999999999993</v>
      </c>
      <c r="Y25" s="7"/>
    </row>
    <row r="26" spans="1:25" hidden="1">
      <c r="A26" s="7" t="s">
        <v>778</v>
      </c>
      <c r="B26" s="8">
        <f t="shared" si="52"/>
        <v>1.875</v>
      </c>
      <c r="C26" s="8">
        <f t="shared" si="53"/>
        <v>1.25</v>
      </c>
      <c r="D26" s="8">
        <v>1.1000000000000001</v>
      </c>
      <c r="E26" s="8">
        <v>1.4</v>
      </c>
      <c r="G26" s="36">
        <f t="shared" si="11"/>
        <v>0</v>
      </c>
      <c r="H26" s="22">
        <f t="shared" si="54"/>
        <v>0</v>
      </c>
      <c r="K26" s="14">
        <f t="shared" si="55"/>
        <v>0</v>
      </c>
      <c r="L26" s="14">
        <f t="shared" si="56"/>
        <v>0</v>
      </c>
      <c r="N26" s="15">
        <f t="shared" si="57"/>
        <v>0</v>
      </c>
      <c r="O26" s="15">
        <f t="shared" si="58"/>
        <v>0</v>
      </c>
      <c r="Q26" s="16">
        <f t="shared" si="59"/>
        <v>0</v>
      </c>
      <c r="R26" s="16">
        <f t="shared" si="60"/>
        <v>0</v>
      </c>
      <c r="T26" s="17">
        <f t="shared" si="61"/>
        <v>0</v>
      </c>
      <c r="U26" s="17">
        <f t="shared" si="62"/>
        <v>0</v>
      </c>
      <c r="V26" s="39"/>
      <c r="W26" s="38">
        <f t="shared" si="63"/>
        <v>0</v>
      </c>
      <c r="X26" s="38">
        <f t="shared" si="64"/>
        <v>0</v>
      </c>
      <c r="Y26" s="7"/>
    </row>
    <row r="27" spans="1:25" ht="21">
      <c r="A27" s="59" t="s">
        <v>145</v>
      </c>
      <c r="K27" s="14"/>
      <c r="L27" s="14"/>
      <c r="M27" s="231"/>
      <c r="N27" s="232"/>
      <c r="O27" s="233"/>
      <c r="Q27" s="16"/>
      <c r="R27" s="16"/>
      <c r="S27" s="234"/>
      <c r="T27" s="235"/>
      <c r="U27" s="236"/>
      <c r="V27" s="39"/>
      <c r="W27" s="38"/>
      <c r="X27" s="38"/>
      <c r="Y27" s="7"/>
    </row>
    <row r="28" spans="1:25">
      <c r="A28" s="7" t="s">
        <v>182</v>
      </c>
      <c r="B28" s="8">
        <f>C28*(1+$B$2)</f>
        <v>1.8000000000000003</v>
      </c>
      <c r="C28" s="8">
        <f>AVERAGE(D28:E28)</f>
        <v>1.2000000000000002</v>
      </c>
      <c r="D28" s="8">
        <v>1.1000000000000001</v>
      </c>
      <c r="E28" s="8">
        <v>1.3</v>
      </c>
      <c r="G28" s="36">
        <f t="shared" si="11"/>
        <v>0</v>
      </c>
      <c r="H28" s="22">
        <f>SUM(F28,-G28)</f>
        <v>0</v>
      </c>
      <c r="K28" s="14">
        <f>J28*C28</f>
        <v>0</v>
      </c>
      <c r="L28" s="14">
        <f>J28*B28</f>
        <v>0</v>
      </c>
      <c r="N28" s="15">
        <f>M28*C28</f>
        <v>0</v>
      </c>
      <c r="O28" s="15">
        <f>M28*B28</f>
        <v>0</v>
      </c>
      <c r="Q28" s="16">
        <f>P28*C28</f>
        <v>0</v>
      </c>
      <c r="R28" s="16">
        <f>P28*B28</f>
        <v>0</v>
      </c>
      <c r="T28" s="17">
        <f>S28*C28</f>
        <v>0</v>
      </c>
      <c r="U28" s="17">
        <f>S28*B28</f>
        <v>0</v>
      </c>
      <c r="V28" s="39"/>
      <c r="W28" s="38">
        <f>V28*C28</f>
        <v>0</v>
      </c>
      <c r="X28" s="38">
        <f>V28*B28</f>
        <v>0</v>
      </c>
      <c r="Y28" s="7"/>
    </row>
    <row r="29" spans="1:25" hidden="1">
      <c r="A29" s="7" t="s">
        <v>779</v>
      </c>
      <c r="B29" s="8">
        <f t="shared" ref="B29:B30" si="65">C29*(1+$B$2)</f>
        <v>3.1500000000000004</v>
      </c>
      <c r="C29" s="8">
        <f t="shared" ref="C29:C30" si="66">AVERAGE(D29:E29)</f>
        <v>2.1</v>
      </c>
      <c r="D29" s="8">
        <v>2.1</v>
      </c>
      <c r="G29" s="36">
        <f t="shared" si="11"/>
        <v>0</v>
      </c>
      <c r="H29" s="22">
        <f t="shared" ref="H29:H30" si="67">SUM(F29,-G29)</f>
        <v>0</v>
      </c>
      <c r="K29" s="14">
        <f t="shared" ref="K29:K30" si="68">J29*C29</f>
        <v>0</v>
      </c>
      <c r="L29" s="14">
        <f t="shared" ref="L29:L30" si="69">J29*B29</f>
        <v>0</v>
      </c>
      <c r="N29" s="15">
        <f t="shared" ref="N29:N30" si="70">M29*C29</f>
        <v>0</v>
      </c>
      <c r="O29" s="15">
        <f t="shared" ref="O29:O30" si="71">M29*B29</f>
        <v>0</v>
      </c>
      <c r="Q29" s="16">
        <f t="shared" ref="Q29:Q30" si="72">P29*C29</f>
        <v>0</v>
      </c>
      <c r="R29" s="16">
        <f t="shared" ref="R29:R30" si="73">P29*B29</f>
        <v>0</v>
      </c>
      <c r="T29" s="17">
        <f t="shared" ref="T29:T30" si="74">S29*C29</f>
        <v>0</v>
      </c>
      <c r="U29" s="17">
        <f t="shared" ref="U29:U30" si="75">S29*B29</f>
        <v>0</v>
      </c>
      <c r="V29" s="39"/>
      <c r="W29" s="38">
        <f t="shared" ref="W29:W30" si="76">V29*C29</f>
        <v>0</v>
      </c>
      <c r="X29" s="38">
        <f t="shared" ref="X29:X30" si="77">V29*B29</f>
        <v>0</v>
      </c>
      <c r="Y29" s="7"/>
    </row>
    <row r="30" spans="1:25">
      <c r="A30" s="7" t="s">
        <v>780</v>
      </c>
      <c r="B30" s="8">
        <f t="shared" si="65"/>
        <v>1.9500000000000002</v>
      </c>
      <c r="C30" s="8">
        <f t="shared" si="66"/>
        <v>1.3</v>
      </c>
      <c r="D30" s="8">
        <v>1.3</v>
      </c>
      <c r="G30" s="36">
        <f t="shared" si="11"/>
        <v>0</v>
      </c>
      <c r="H30" s="22">
        <f t="shared" si="67"/>
        <v>0</v>
      </c>
      <c r="K30" s="14">
        <f t="shared" si="68"/>
        <v>0</v>
      </c>
      <c r="L30" s="14">
        <f t="shared" si="69"/>
        <v>0</v>
      </c>
      <c r="N30" s="15">
        <f t="shared" si="70"/>
        <v>0</v>
      </c>
      <c r="O30" s="15">
        <f t="shared" si="71"/>
        <v>0</v>
      </c>
      <c r="Q30" s="16">
        <f t="shared" si="72"/>
        <v>0</v>
      </c>
      <c r="R30" s="16">
        <f t="shared" si="73"/>
        <v>0</v>
      </c>
      <c r="T30" s="17">
        <f t="shared" si="74"/>
        <v>0</v>
      </c>
      <c r="U30" s="17">
        <f t="shared" si="75"/>
        <v>0</v>
      </c>
      <c r="V30" s="39"/>
      <c r="W30" s="38">
        <f t="shared" si="76"/>
        <v>0</v>
      </c>
      <c r="X30" s="38">
        <f t="shared" si="77"/>
        <v>0</v>
      </c>
      <c r="Y30" s="7"/>
    </row>
    <row r="31" spans="1:25">
      <c r="A31" s="7" t="s">
        <v>781</v>
      </c>
      <c r="B31" s="8">
        <f>C31*(1+$B$2)</f>
        <v>1.5750000000000002</v>
      </c>
      <c r="C31" s="8">
        <f>AVERAGE(D31:E31)</f>
        <v>1.05</v>
      </c>
      <c r="D31" s="8">
        <v>1.1000000000000001</v>
      </c>
      <c r="E31" s="8">
        <v>1</v>
      </c>
      <c r="F31" s="22">
        <v>160</v>
      </c>
      <c r="G31" s="36">
        <f>(J31*$J$2)+(M31*$M$2)+(P31*$P$2)+(S31*$S$2)+(V31*$V$2)+(Y31*$Y$2)+(Z31*$Z$2)+(AA31*$AA$2)+(AB31*$AB$2)+(AC31*$AC$2)</f>
        <v>14.25</v>
      </c>
      <c r="H31" s="22">
        <f>SUM(F31,-G31)</f>
        <v>145.75</v>
      </c>
      <c r="I31" s="22" t="s">
        <v>765</v>
      </c>
      <c r="J31" s="9">
        <v>0.25</v>
      </c>
      <c r="K31" s="14">
        <f>J31*C31</f>
        <v>0.26250000000000001</v>
      </c>
      <c r="L31" s="14">
        <f>J31*B31</f>
        <v>0.39375000000000004</v>
      </c>
      <c r="M31" s="10">
        <v>0.5</v>
      </c>
      <c r="N31" s="15">
        <f>M31*C31</f>
        <v>0.52500000000000002</v>
      </c>
      <c r="O31" s="15">
        <f>M31*B31</f>
        <v>0.78750000000000009</v>
      </c>
      <c r="Q31" s="16">
        <f>P31*C31</f>
        <v>0</v>
      </c>
      <c r="R31" s="16">
        <f>P31*B31</f>
        <v>0</v>
      </c>
      <c r="T31" s="17">
        <f>S31*C31</f>
        <v>0</v>
      </c>
      <c r="U31" s="17">
        <f>S31*B31</f>
        <v>0</v>
      </c>
      <c r="V31" s="39"/>
      <c r="W31" s="38">
        <f>V31*C31</f>
        <v>0</v>
      </c>
      <c r="X31" s="38">
        <f>V31*B31</f>
        <v>0</v>
      </c>
      <c r="Y31" s="7"/>
    </row>
    <row r="32" spans="1:25">
      <c r="A32" s="7" t="s">
        <v>782</v>
      </c>
      <c r="B32" s="8">
        <f>C32*(1+$B$2)</f>
        <v>1.5</v>
      </c>
      <c r="C32" s="8">
        <f>AVERAGE(D32:E32)</f>
        <v>1</v>
      </c>
      <c r="D32" s="8">
        <v>1.1000000000000001</v>
      </c>
      <c r="E32" s="8">
        <v>0.9</v>
      </c>
      <c r="F32" s="22">
        <v>20</v>
      </c>
      <c r="G32" s="36">
        <f>(J32*$J$2)+(M32*$M$2)+(P32*$P$2)+(S32*$S$2)+(V32*$V$2)+(Y32*$Y$2)+(Z32*$Z$2)+(AA32*$AA$2)+(AB32*$AB$2)+(AC32*$AC$2)</f>
        <v>14.25</v>
      </c>
      <c r="H32" s="22">
        <f>SUM(F32,-G32)</f>
        <v>5.75</v>
      </c>
      <c r="J32" s="9">
        <v>0.25</v>
      </c>
      <c r="K32" s="14">
        <f>J32*C32</f>
        <v>0.25</v>
      </c>
      <c r="L32" s="14">
        <f>J32*B32</f>
        <v>0.375</v>
      </c>
      <c r="M32" s="10">
        <v>0.5</v>
      </c>
      <c r="N32" s="15">
        <f>M32*C32</f>
        <v>0.5</v>
      </c>
      <c r="O32" s="15">
        <f>M32*B32</f>
        <v>0.75</v>
      </c>
      <c r="Q32" s="16">
        <f>P32*C32</f>
        <v>0</v>
      </c>
      <c r="R32" s="16">
        <f>P32*B32</f>
        <v>0</v>
      </c>
      <c r="T32" s="17">
        <f>S32*C32</f>
        <v>0</v>
      </c>
      <c r="U32" s="17">
        <f>S32*B32</f>
        <v>0</v>
      </c>
      <c r="V32" s="39"/>
      <c r="W32" s="38">
        <f>V32*C32</f>
        <v>0</v>
      </c>
      <c r="X32" s="38">
        <f>V32*B32</f>
        <v>0</v>
      </c>
      <c r="Y32" s="7"/>
    </row>
    <row r="33" spans="1:25">
      <c r="A33" s="7" t="s">
        <v>783</v>
      </c>
      <c r="B33" s="8">
        <f>C33*(1+$B$2)</f>
        <v>1.6500000000000001</v>
      </c>
      <c r="C33" s="8">
        <f>AVERAGE(D33:E33)</f>
        <v>1.1000000000000001</v>
      </c>
      <c r="D33" s="13">
        <v>1.1000000000000001</v>
      </c>
      <c r="F33" s="22">
        <v>25</v>
      </c>
      <c r="G33" s="36">
        <f t="shared" ref="G33" si="78">(J33*$J$2)+(M33*$M$2)+(P33*$P$2)+(S33*$S$2)+(V33*$V$2)+(Y33*$Y$2)+(Z33*$Z$2)+(AA33*$AA$2)+(AB33*$AB$2)+(AC33*$AC$2)</f>
        <v>14.25</v>
      </c>
      <c r="H33" s="22">
        <f>SUM(F33,-G33)</f>
        <v>10.75</v>
      </c>
      <c r="J33" s="9">
        <v>0.25</v>
      </c>
      <c r="K33" s="14">
        <f>J33*C33</f>
        <v>0.27500000000000002</v>
      </c>
      <c r="L33" s="14">
        <f>J33*B33</f>
        <v>0.41250000000000003</v>
      </c>
      <c r="M33" s="10">
        <v>0.5</v>
      </c>
      <c r="N33" s="15">
        <f>M33*C33</f>
        <v>0.55000000000000004</v>
      </c>
      <c r="O33" s="15">
        <f>M33*B33</f>
        <v>0.82500000000000007</v>
      </c>
      <c r="Q33" s="16">
        <f>P33*C33</f>
        <v>0</v>
      </c>
      <c r="R33" s="16">
        <f>P33*B33</f>
        <v>0</v>
      </c>
      <c r="T33" s="17">
        <f>S33*C33</f>
        <v>0</v>
      </c>
      <c r="U33" s="17">
        <f>S33*B33</f>
        <v>0</v>
      </c>
      <c r="V33" s="39"/>
      <c r="W33" s="38">
        <f>V33*C33</f>
        <v>0</v>
      </c>
      <c r="X33" s="38">
        <f>V33*B33</f>
        <v>0</v>
      </c>
      <c r="Y33" s="7"/>
    </row>
    <row r="34" spans="1:25">
      <c r="A34" s="7" t="s">
        <v>784</v>
      </c>
      <c r="B34" s="8">
        <f>C34*(1+$B$2)</f>
        <v>3</v>
      </c>
      <c r="C34" s="8">
        <f>AVERAGE(D34:E34)</f>
        <v>2</v>
      </c>
      <c r="D34" s="8">
        <v>2</v>
      </c>
      <c r="G34" s="36">
        <f t="shared" ref="G34" si="79">(J34*$J$2)+(M34*$M$2)+(P34*$P$2)+(S34*$S$2)+(V34*$V$2)+(Y34*$Y$2)+(Z34*$Z$2)+(AA34*$AA$2)+(AB34*$AB$2)+(AC34*$AC$2)</f>
        <v>0</v>
      </c>
      <c r="H34" s="22">
        <f>SUM(F34,-G34)</f>
        <v>0</v>
      </c>
      <c r="K34" s="14">
        <f>J34*C34</f>
        <v>0</v>
      </c>
      <c r="L34" s="14">
        <f>J34*B34</f>
        <v>0</v>
      </c>
      <c r="N34" s="15">
        <f>M34*C34</f>
        <v>0</v>
      </c>
      <c r="O34" s="15">
        <f>M34*B34</f>
        <v>0</v>
      </c>
      <c r="Q34" s="16">
        <f>P34*C34</f>
        <v>0</v>
      </c>
      <c r="R34" s="16">
        <f>P34*B34</f>
        <v>0</v>
      </c>
      <c r="T34" s="17">
        <f>S34*C34</f>
        <v>0</v>
      </c>
      <c r="U34" s="17">
        <f>S34*B34</f>
        <v>0</v>
      </c>
      <c r="V34" s="39"/>
      <c r="W34" s="38">
        <f>V34*C34</f>
        <v>0</v>
      </c>
      <c r="X34" s="38">
        <f>V34*B34</f>
        <v>0</v>
      </c>
      <c r="Y34" s="7"/>
    </row>
    <row r="35" spans="1:25">
      <c r="A35" s="7" t="s">
        <v>785</v>
      </c>
      <c r="B35" s="8">
        <f>C35*(1+$B$2)</f>
        <v>1.6500000000000001</v>
      </c>
      <c r="C35" s="8">
        <f>AVERAGE(D35:E35)</f>
        <v>1.1000000000000001</v>
      </c>
      <c r="D35" s="8">
        <v>1.1000000000000001</v>
      </c>
      <c r="F35" s="22">
        <v>40</v>
      </c>
      <c r="G35" s="36">
        <f t="shared" si="11"/>
        <v>14.25</v>
      </c>
      <c r="H35" s="22">
        <f>SUM(F35,-G35)</f>
        <v>25.75</v>
      </c>
      <c r="J35" s="9">
        <v>0.25</v>
      </c>
      <c r="K35" s="14">
        <f>J35*C35</f>
        <v>0.27500000000000002</v>
      </c>
      <c r="L35" s="14">
        <f>J35*B35</f>
        <v>0.41250000000000003</v>
      </c>
      <c r="M35" s="10">
        <v>0.5</v>
      </c>
      <c r="N35" s="15">
        <f>M35*C35</f>
        <v>0.55000000000000004</v>
      </c>
      <c r="O35" s="15">
        <f>M35*B35</f>
        <v>0.82500000000000007</v>
      </c>
      <c r="Q35" s="16">
        <f>P35*C35</f>
        <v>0</v>
      </c>
      <c r="R35" s="16">
        <f>P35*B35</f>
        <v>0</v>
      </c>
      <c r="T35" s="17">
        <f>S35*C35</f>
        <v>0</v>
      </c>
      <c r="U35" s="17">
        <f>S35*B35</f>
        <v>0</v>
      </c>
      <c r="V35" s="39"/>
      <c r="W35" s="38">
        <f>V35*C35</f>
        <v>0</v>
      </c>
      <c r="X35" s="38">
        <f>V35*B35</f>
        <v>0</v>
      </c>
      <c r="Y35" s="7"/>
    </row>
    <row r="36" spans="1:25" ht="21">
      <c r="A36" s="59" t="s">
        <v>738</v>
      </c>
      <c r="D36" s="60"/>
      <c r="J36" s="228"/>
      <c r="K36" s="229"/>
      <c r="L36" s="230"/>
      <c r="M36" s="231"/>
      <c r="N36" s="232"/>
      <c r="O36" s="233"/>
      <c r="Q36" s="16"/>
      <c r="R36" s="16"/>
      <c r="T36" s="17"/>
      <c r="U36" s="17"/>
      <c r="V36" s="39"/>
      <c r="W36" s="38"/>
      <c r="X36" s="38"/>
      <c r="Y36" s="7"/>
    </row>
    <row r="37" spans="1:25">
      <c r="A37" s="7" t="s">
        <v>786</v>
      </c>
      <c r="B37" s="8">
        <f>C37*(1+$B$2)</f>
        <v>1.845</v>
      </c>
      <c r="C37" s="8">
        <f>AVERAGE(D37:E37)</f>
        <v>1.23</v>
      </c>
      <c r="D37" s="8">
        <v>1.23</v>
      </c>
      <c r="G37" s="36">
        <f t="shared" si="11"/>
        <v>0</v>
      </c>
      <c r="H37" s="22">
        <f>SUM(F37,-G37)</f>
        <v>0</v>
      </c>
      <c r="K37" s="14">
        <f>J37*C37</f>
        <v>0</v>
      </c>
      <c r="L37" s="14">
        <f>J37*B37</f>
        <v>0</v>
      </c>
      <c r="N37" s="15">
        <f>M37*C37</f>
        <v>0</v>
      </c>
      <c r="O37" s="15">
        <f>M37*B37</f>
        <v>0</v>
      </c>
      <c r="Q37" s="16">
        <f>P37*C37</f>
        <v>0</v>
      </c>
      <c r="R37" s="16">
        <f>P37*B37</f>
        <v>0</v>
      </c>
      <c r="T37" s="17">
        <f>S37*C37</f>
        <v>0</v>
      </c>
      <c r="U37" s="17">
        <f>S37*B37</f>
        <v>0</v>
      </c>
      <c r="V37" s="39"/>
      <c r="W37" s="38">
        <f>V37*C37</f>
        <v>0</v>
      </c>
      <c r="X37" s="38">
        <f>V37*B37</f>
        <v>0</v>
      </c>
      <c r="Y37" s="7"/>
    </row>
    <row r="38" spans="1:25">
      <c r="A38" s="7" t="s">
        <v>44</v>
      </c>
      <c r="B38" s="8">
        <f>C38*(1+$B$2)</f>
        <v>0.75</v>
      </c>
      <c r="C38" s="8">
        <f>AVERAGE(D38:E38)</f>
        <v>0.5</v>
      </c>
      <c r="D38" s="13">
        <v>0.5</v>
      </c>
      <c r="F38" s="22">
        <v>60</v>
      </c>
      <c r="G38" s="36">
        <f t="shared" ref="G38" si="80">(J38*$J$2)+(M38*$M$2)+(P38*$P$2)+(S38*$S$2)+(V38*$V$2)+(Y38*$Y$2)+(Z38*$Z$2)+(AA38*$AA$2)+(AB38*$AB$2)+(AC38*$AC$2)</f>
        <v>57</v>
      </c>
      <c r="H38" s="22">
        <f>SUM(F38,-G38)</f>
        <v>3</v>
      </c>
      <c r="J38" s="9">
        <v>1</v>
      </c>
      <c r="K38" s="14">
        <f>J38*C38</f>
        <v>0.5</v>
      </c>
      <c r="L38" s="14">
        <f>J38*B38</f>
        <v>0.75</v>
      </c>
      <c r="M38" s="10">
        <v>2</v>
      </c>
      <c r="N38" s="15">
        <f>M38*C38</f>
        <v>1</v>
      </c>
      <c r="O38" s="15">
        <f>M38*B38</f>
        <v>1.5</v>
      </c>
      <c r="Q38" s="16">
        <f>P38*C38</f>
        <v>0</v>
      </c>
      <c r="R38" s="16">
        <f>P38*B38</f>
        <v>0</v>
      </c>
      <c r="T38" s="17">
        <f>S38*C38</f>
        <v>0</v>
      </c>
      <c r="U38" s="17">
        <f>S38*B38</f>
        <v>0</v>
      </c>
      <c r="V38" s="39"/>
      <c r="W38" s="38">
        <f>V38*C38</f>
        <v>0</v>
      </c>
      <c r="X38" s="38">
        <f>V38*B38</f>
        <v>0</v>
      </c>
      <c r="Y38" s="7"/>
    </row>
    <row r="39" spans="1:25">
      <c r="A39" s="7" t="s">
        <v>787</v>
      </c>
      <c r="B39" s="8">
        <f>C39*(1+$B$2)</f>
        <v>1.425</v>
      </c>
      <c r="C39" s="8">
        <f>AVERAGE(D39:E39)</f>
        <v>0.95000000000000007</v>
      </c>
      <c r="D39" s="8">
        <v>0.8</v>
      </c>
      <c r="E39" s="8">
        <v>1.1000000000000001</v>
      </c>
      <c r="G39" s="36">
        <f t="shared" si="11"/>
        <v>0</v>
      </c>
      <c r="H39" s="22">
        <f>SUM(F39,-G39)</f>
        <v>0</v>
      </c>
      <c r="K39" s="14">
        <f>J39*C39</f>
        <v>0</v>
      </c>
      <c r="L39" s="14">
        <f>J39*B39</f>
        <v>0</v>
      </c>
      <c r="N39" s="15">
        <f>M39*C39</f>
        <v>0</v>
      </c>
      <c r="O39" s="15">
        <f>M39*B39</f>
        <v>0</v>
      </c>
      <c r="Q39" s="16">
        <f>P39*C39</f>
        <v>0</v>
      </c>
      <c r="R39" s="16">
        <f>P39*B39</f>
        <v>0</v>
      </c>
      <c r="T39" s="17">
        <f>S39*C39</f>
        <v>0</v>
      </c>
      <c r="U39" s="17">
        <f>S39*B39</f>
        <v>0</v>
      </c>
      <c r="V39" s="39"/>
      <c r="W39" s="38">
        <f>V39*C39</f>
        <v>0</v>
      </c>
      <c r="X39" s="38">
        <f>V39*B39</f>
        <v>0</v>
      </c>
      <c r="Y39" s="7"/>
    </row>
    <row r="40" spans="1:25">
      <c r="A40" s="7" t="s">
        <v>788</v>
      </c>
      <c r="B40" s="8">
        <f>C40*(1+$B$2)</f>
        <v>1.125</v>
      </c>
      <c r="C40" s="8">
        <f>AVERAGE(D40:E40)</f>
        <v>0.75</v>
      </c>
      <c r="D40" s="13">
        <v>0.75</v>
      </c>
      <c r="F40" s="22">
        <v>30</v>
      </c>
      <c r="G40" s="36">
        <f t="shared" si="11"/>
        <v>37.770000000000003</v>
      </c>
      <c r="H40" s="22">
        <f>SUM(F40,-G40)</f>
        <v>-7.7700000000000031</v>
      </c>
      <c r="J40" s="9">
        <v>0.66</v>
      </c>
      <c r="K40" s="14">
        <f>J40*C40</f>
        <v>0.495</v>
      </c>
      <c r="L40" s="14">
        <f>J40*B40</f>
        <v>0.74250000000000005</v>
      </c>
      <c r="M40" s="10">
        <v>1.33</v>
      </c>
      <c r="N40" s="15">
        <f>M40*C40</f>
        <v>0.99750000000000005</v>
      </c>
      <c r="O40" s="15">
        <f>M40*B40</f>
        <v>1.4962500000000001</v>
      </c>
      <c r="Q40" s="16">
        <f>P40*C40</f>
        <v>0</v>
      </c>
      <c r="R40" s="16">
        <f>P40*B40</f>
        <v>0</v>
      </c>
      <c r="T40" s="17">
        <f>S40*C40</f>
        <v>0</v>
      </c>
      <c r="U40" s="17">
        <f>S40*B40</f>
        <v>0</v>
      </c>
      <c r="V40" s="39"/>
      <c r="W40" s="38">
        <f>V40*C40</f>
        <v>0</v>
      </c>
      <c r="X40" s="38">
        <f>V40*B40</f>
        <v>0</v>
      </c>
      <c r="Y40" s="7"/>
    </row>
    <row r="41" spans="1:25">
      <c r="A41" s="7" t="s">
        <v>789</v>
      </c>
      <c r="B41" s="8">
        <f t="shared" ref="B41:B42" si="81">C41*(1+$B$2)</f>
        <v>1.6949999999999998</v>
      </c>
      <c r="C41" s="8">
        <f t="shared" si="1"/>
        <v>1.1299999999999999</v>
      </c>
      <c r="D41" s="8">
        <v>1.1299999999999999</v>
      </c>
      <c r="F41" s="22">
        <v>32</v>
      </c>
      <c r="G41" s="36">
        <f t="shared" si="11"/>
        <v>37.770000000000003</v>
      </c>
      <c r="H41" s="22">
        <f t="shared" ref="H41:H42" si="82">SUM(F41,-G41)</f>
        <v>-5.7700000000000031</v>
      </c>
      <c r="J41" s="9">
        <v>0.66</v>
      </c>
      <c r="K41" s="14">
        <f t="shared" si="3"/>
        <v>0.74580000000000002</v>
      </c>
      <c r="L41" s="14">
        <f t="shared" si="4"/>
        <v>1.1187</v>
      </c>
      <c r="M41" s="10">
        <v>1.33</v>
      </c>
      <c r="N41" s="15">
        <f t="shared" si="5"/>
        <v>1.5028999999999999</v>
      </c>
      <c r="O41" s="15">
        <f t="shared" si="6"/>
        <v>2.2543500000000001</v>
      </c>
      <c r="Q41" s="16">
        <f t="shared" si="7"/>
        <v>0</v>
      </c>
      <c r="R41" s="16">
        <f t="shared" si="8"/>
        <v>0</v>
      </c>
      <c r="T41" s="17">
        <f t="shared" si="9"/>
        <v>0</v>
      </c>
      <c r="U41" s="17">
        <f t="shared" si="10"/>
        <v>0</v>
      </c>
      <c r="V41" s="39"/>
      <c r="W41" s="38">
        <f t="shared" si="12"/>
        <v>0</v>
      </c>
      <c r="X41" s="38">
        <f t="shared" si="13"/>
        <v>0</v>
      </c>
      <c r="Y41" s="7"/>
    </row>
    <row r="42" spans="1:25">
      <c r="A42" s="7" t="s">
        <v>790</v>
      </c>
      <c r="B42" s="8">
        <f t="shared" si="81"/>
        <v>1.7249999999999999</v>
      </c>
      <c r="C42" s="8">
        <f t="shared" si="1"/>
        <v>1.1499999999999999</v>
      </c>
      <c r="D42" s="8">
        <v>1.1000000000000001</v>
      </c>
      <c r="E42" s="8">
        <v>1.2</v>
      </c>
      <c r="F42" s="22">
        <v>120</v>
      </c>
      <c r="G42" s="36">
        <f t="shared" si="11"/>
        <v>37.770000000000003</v>
      </c>
      <c r="H42" s="22">
        <f t="shared" si="82"/>
        <v>82.22999999999999</v>
      </c>
      <c r="J42" s="9">
        <v>0.66</v>
      </c>
      <c r="K42" s="14">
        <f t="shared" si="3"/>
        <v>0.75900000000000001</v>
      </c>
      <c r="L42" s="14">
        <f t="shared" si="4"/>
        <v>1.1385000000000001</v>
      </c>
      <c r="M42" s="10">
        <v>1.33</v>
      </c>
      <c r="N42" s="15">
        <f t="shared" si="5"/>
        <v>1.5294999999999999</v>
      </c>
      <c r="O42" s="15">
        <f t="shared" si="6"/>
        <v>2.2942499999999999</v>
      </c>
      <c r="Q42" s="16">
        <f t="shared" si="7"/>
        <v>0</v>
      </c>
      <c r="R42" s="16">
        <f t="shared" si="8"/>
        <v>0</v>
      </c>
      <c r="T42" s="17">
        <f t="shared" si="9"/>
        <v>0</v>
      </c>
      <c r="U42" s="17">
        <f t="shared" si="10"/>
        <v>0</v>
      </c>
      <c r="V42" s="39"/>
      <c r="W42" s="38">
        <f t="shared" si="12"/>
        <v>0</v>
      </c>
      <c r="X42" s="38">
        <f t="shared" si="13"/>
        <v>0</v>
      </c>
      <c r="Y42" s="7"/>
    </row>
    <row r="43" spans="1:25" ht="21">
      <c r="A43" s="59" t="s">
        <v>148</v>
      </c>
      <c r="G43" s="36">
        <f t="shared" si="11"/>
        <v>0</v>
      </c>
    </row>
    <row r="44" spans="1:25">
      <c r="A44" s="7" t="s">
        <v>791</v>
      </c>
      <c r="B44" s="8">
        <f t="shared" ref="B44:B49" si="83">C44*(1+$B$2)</f>
        <v>2.25</v>
      </c>
      <c r="C44" s="8">
        <f t="shared" ref="C44:C49" si="84">AVERAGE(D44:E44)</f>
        <v>1.5</v>
      </c>
      <c r="D44" s="13">
        <v>1.5</v>
      </c>
      <c r="F44" s="22">
        <v>40</v>
      </c>
      <c r="G44" s="36">
        <f t="shared" si="11"/>
        <v>42</v>
      </c>
      <c r="H44" s="22">
        <f t="shared" ref="H44:H49" si="85">SUM(F44,-G44)</f>
        <v>-2</v>
      </c>
      <c r="J44" s="9">
        <v>1</v>
      </c>
      <c r="K44" s="14">
        <f t="shared" ref="K44:K49" si="86">J44*C44</f>
        <v>1.5</v>
      </c>
      <c r="L44" s="14">
        <f t="shared" ref="L44:L49" si="87">J44*B44</f>
        <v>2.25</v>
      </c>
      <c r="M44" s="10">
        <v>1</v>
      </c>
      <c r="N44" s="15">
        <f t="shared" ref="N44:N49" si="88">M44*C44</f>
        <v>1.5</v>
      </c>
      <c r="O44" s="15">
        <f t="shared" ref="O44:O49" si="89">M44*B44</f>
        <v>2.25</v>
      </c>
      <c r="Q44" s="16">
        <f t="shared" ref="Q44:Q49" si="90">P44*C44</f>
        <v>0</v>
      </c>
      <c r="R44" s="16">
        <f t="shared" ref="R44:R49" si="91">P44*B44</f>
        <v>0</v>
      </c>
      <c r="T44" s="17">
        <f t="shared" ref="T44:T49" si="92">S44*C44</f>
        <v>0</v>
      </c>
      <c r="U44" s="17">
        <f t="shared" ref="U44:U49" si="93">S44*B44</f>
        <v>0</v>
      </c>
      <c r="V44" s="39"/>
      <c r="W44" s="38">
        <f t="shared" ref="W44:W49" si="94">V44*C44</f>
        <v>0</v>
      </c>
      <c r="X44" s="38">
        <f t="shared" ref="X44:X49" si="95">V44*B44</f>
        <v>0</v>
      </c>
      <c r="Y44" s="7"/>
    </row>
    <row r="45" spans="1:25">
      <c r="A45" s="7" t="s">
        <v>792</v>
      </c>
      <c r="B45" s="8">
        <f t="shared" si="83"/>
        <v>1.6500000000000001</v>
      </c>
      <c r="C45" s="8">
        <f t="shared" si="84"/>
        <v>1.1000000000000001</v>
      </c>
      <c r="D45" s="60">
        <v>1.1000000000000001</v>
      </c>
      <c r="F45" s="22">
        <v>50</v>
      </c>
      <c r="G45" s="36">
        <f t="shared" si="11"/>
        <v>42</v>
      </c>
      <c r="H45" s="22">
        <f t="shared" si="85"/>
        <v>8</v>
      </c>
      <c r="J45" s="9">
        <v>1</v>
      </c>
      <c r="K45" s="14">
        <f t="shared" si="86"/>
        <v>1.1000000000000001</v>
      </c>
      <c r="L45" s="14">
        <f t="shared" si="87"/>
        <v>1.6500000000000001</v>
      </c>
      <c r="M45" s="10">
        <v>1</v>
      </c>
      <c r="N45" s="15">
        <f t="shared" si="88"/>
        <v>1.1000000000000001</v>
      </c>
      <c r="O45" s="15">
        <f t="shared" si="89"/>
        <v>1.6500000000000001</v>
      </c>
      <c r="Q45" s="16">
        <f t="shared" si="90"/>
        <v>0</v>
      </c>
      <c r="R45" s="16">
        <f t="shared" si="91"/>
        <v>0</v>
      </c>
      <c r="T45" s="17">
        <f t="shared" si="92"/>
        <v>0</v>
      </c>
      <c r="U45" s="17">
        <f t="shared" si="93"/>
        <v>0</v>
      </c>
      <c r="V45" s="39"/>
      <c r="W45" s="38">
        <f t="shared" si="94"/>
        <v>0</v>
      </c>
      <c r="X45" s="38">
        <f t="shared" si="95"/>
        <v>0</v>
      </c>
      <c r="Y45" s="7"/>
    </row>
    <row r="46" spans="1:25">
      <c r="A46" s="7" t="s">
        <v>793</v>
      </c>
      <c r="B46" s="8">
        <f t="shared" si="83"/>
        <v>1.6500000000000001</v>
      </c>
      <c r="C46" s="8">
        <f t="shared" si="84"/>
        <v>1.1000000000000001</v>
      </c>
      <c r="D46" s="60">
        <v>1.1000000000000001</v>
      </c>
      <c r="G46" s="36">
        <f t="shared" si="11"/>
        <v>0</v>
      </c>
      <c r="H46" s="22">
        <f t="shared" si="85"/>
        <v>0</v>
      </c>
      <c r="K46" s="14">
        <f t="shared" si="86"/>
        <v>0</v>
      </c>
      <c r="L46" s="14">
        <f t="shared" si="87"/>
        <v>0</v>
      </c>
      <c r="N46" s="15">
        <f t="shared" si="88"/>
        <v>0</v>
      </c>
      <c r="O46" s="15">
        <f t="shared" si="89"/>
        <v>0</v>
      </c>
      <c r="Q46" s="16">
        <f t="shared" si="90"/>
        <v>0</v>
      </c>
      <c r="R46" s="16">
        <f t="shared" si="91"/>
        <v>0</v>
      </c>
      <c r="T46" s="17">
        <f t="shared" si="92"/>
        <v>0</v>
      </c>
      <c r="U46" s="17">
        <f t="shared" si="93"/>
        <v>0</v>
      </c>
      <c r="V46" s="39"/>
      <c r="W46" s="38">
        <f t="shared" si="94"/>
        <v>0</v>
      </c>
      <c r="X46" s="38">
        <f t="shared" si="95"/>
        <v>0</v>
      </c>
      <c r="Y46" s="7"/>
    </row>
    <row r="47" spans="1:25">
      <c r="A47" s="7" t="s">
        <v>794</v>
      </c>
      <c r="B47" s="8">
        <f t="shared" si="83"/>
        <v>1.875</v>
      </c>
      <c r="C47" s="8">
        <f t="shared" si="84"/>
        <v>1.25</v>
      </c>
      <c r="D47" s="60">
        <v>1.25</v>
      </c>
      <c r="G47" s="36">
        <f t="shared" si="11"/>
        <v>0</v>
      </c>
      <c r="H47" s="22">
        <f t="shared" si="85"/>
        <v>0</v>
      </c>
      <c r="K47" s="14">
        <f t="shared" si="86"/>
        <v>0</v>
      </c>
      <c r="L47" s="14">
        <f t="shared" si="87"/>
        <v>0</v>
      </c>
      <c r="N47" s="15">
        <f t="shared" si="88"/>
        <v>0</v>
      </c>
      <c r="O47" s="15">
        <f t="shared" si="89"/>
        <v>0</v>
      </c>
      <c r="Q47" s="16">
        <f t="shared" si="90"/>
        <v>0</v>
      </c>
      <c r="R47" s="16">
        <f t="shared" si="91"/>
        <v>0</v>
      </c>
      <c r="T47" s="17">
        <f t="shared" si="92"/>
        <v>0</v>
      </c>
      <c r="U47" s="17">
        <f t="shared" si="93"/>
        <v>0</v>
      </c>
      <c r="V47" s="39"/>
      <c r="W47" s="38">
        <f t="shared" si="94"/>
        <v>0</v>
      </c>
      <c r="X47" s="38">
        <f t="shared" si="95"/>
        <v>0</v>
      </c>
      <c r="Y47" s="7"/>
    </row>
    <row r="48" spans="1:25">
      <c r="A48" s="7" t="s">
        <v>795</v>
      </c>
      <c r="B48" s="8">
        <f t="shared" si="83"/>
        <v>2.25</v>
      </c>
      <c r="C48" s="8">
        <f t="shared" si="84"/>
        <v>1.5</v>
      </c>
      <c r="D48" s="13">
        <v>1.5</v>
      </c>
      <c r="F48" s="22">
        <v>90</v>
      </c>
      <c r="G48" s="36">
        <f t="shared" si="11"/>
        <v>42</v>
      </c>
      <c r="H48" s="22">
        <f t="shared" si="85"/>
        <v>48</v>
      </c>
      <c r="J48" s="9">
        <v>1</v>
      </c>
      <c r="K48" s="14">
        <f t="shared" si="86"/>
        <v>1.5</v>
      </c>
      <c r="L48" s="14">
        <f t="shared" si="87"/>
        <v>2.25</v>
      </c>
      <c r="M48" s="10">
        <v>1</v>
      </c>
      <c r="N48" s="15">
        <f t="shared" si="88"/>
        <v>1.5</v>
      </c>
      <c r="O48" s="15">
        <f t="shared" si="89"/>
        <v>2.25</v>
      </c>
      <c r="Q48" s="16">
        <f t="shared" si="90"/>
        <v>0</v>
      </c>
      <c r="R48" s="16">
        <f t="shared" si="91"/>
        <v>0</v>
      </c>
      <c r="T48" s="17">
        <f t="shared" si="92"/>
        <v>0</v>
      </c>
      <c r="U48" s="17">
        <f t="shared" si="93"/>
        <v>0</v>
      </c>
      <c r="V48" s="39"/>
      <c r="W48" s="38">
        <f t="shared" si="94"/>
        <v>0</v>
      </c>
      <c r="X48" s="38">
        <f t="shared" si="95"/>
        <v>0</v>
      </c>
      <c r="Y48" s="7"/>
    </row>
    <row r="49" spans="1:30">
      <c r="A49" s="7" t="s">
        <v>796</v>
      </c>
      <c r="B49" s="8">
        <f t="shared" si="83"/>
        <v>1.875</v>
      </c>
      <c r="C49" s="8">
        <f t="shared" si="84"/>
        <v>1.25</v>
      </c>
      <c r="D49" s="60">
        <v>1.25</v>
      </c>
      <c r="F49" s="22">
        <v>40</v>
      </c>
      <c r="G49" s="36">
        <f t="shared" si="11"/>
        <v>42</v>
      </c>
      <c r="H49" s="22">
        <f t="shared" si="85"/>
        <v>-2</v>
      </c>
      <c r="J49" s="9">
        <v>1</v>
      </c>
      <c r="K49" s="14">
        <f t="shared" si="86"/>
        <v>1.25</v>
      </c>
      <c r="L49" s="14">
        <f t="shared" si="87"/>
        <v>1.875</v>
      </c>
      <c r="M49" s="10">
        <v>1</v>
      </c>
      <c r="N49" s="15">
        <f t="shared" si="88"/>
        <v>1.25</v>
      </c>
      <c r="O49" s="15">
        <f t="shared" si="89"/>
        <v>1.875</v>
      </c>
      <c r="Q49" s="16">
        <f t="shared" si="90"/>
        <v>0</v>
      </c>
      <c r="R49" s="16">
        <f t="shared" si="91"/>
        <v>0</v>
      </c>
      <c r="T49" s="17">
        <f t="shared" si="92"/>
        <v>0</v>
      </c>
      <c r="U49" s="17">
        <f t="shared" si="93"/>
        <v>0</v>
      </c>
      <c r="V49" s="39"/>
      <c r="W49" s="38">
        <f t="shared" si="94"/>
        <v>0</v>
      </c>
      <c r="X49" s="38">
        <f t="shared" si="95"/>
        <v>0</v>
      </c>
      <c r="Y49" s="7"/>
    </row>
    <row r="50" spans="1:30">
      <c r="A50" s="7" t="s">
        <v>59</v>
      </c>
      <c r="B50" s="8">
        <f t="shared" ref="B50:B52" si="96">C50*(1+$B$2)</f>
        <v>1.6500000000000001</v>
      </c>
      <c r="C50" s="8">
        <f t="shared" ref="C50:C52" si="97">AVERAGE(D50:E50)</f>
        <v>1.1000000000000001</v>
      </c>
      <c r="D50" s="60"/>
      <c r="E50" s="8">
        <v>1.1000000000000001</v>
      </c>
      <c r="G50" s="36">
        <f t="shared" si="11"/>
        <v>0</v>
      </c>
      <c r="H50" s="22">
        <f t="shared" ref="H50:H52" si="98">SUM(F50,-G50)</f>
        <v>0</v>
      </c>
      <c r="K50" s="14">
        <f t="shared" ref="K50:K52" si="99">J50*C50</f>
        <v>0</v>
      </c>
      <c r="L50" s="14">
        <f t="shared" ref="L50:L52" si="100">J50*B50</f>
        <v>0</v>
      </c>
      <c r="N50" s="15">
        <f t="shared" ref="N50:N52" si="101">M50*C50</f>
        <v>0</v>
      </c>
      <c r="O50" s="15">
        <f t="shared" ref="O50:O52" si="102">M50*B50</f>
        <v>0</v>
      </c>
      <c r="Q50" s="16">
        <f t="shared" ref="Q50:Q52" si="103">P50*C50</f>
        <v>0</v>
      </c>
      <c r="R50" s="16">
        <f t="shared" ref="R50:R52" si="104">P50*B50</f>
        <v>0</v>
      </c>
      <c r="T50" s="17">
        <f t="shared" ref="T50:T52" si="105">S50*C50</f>
        <v>0</v>
      </c>
      <c r="U50" s="17">
        <f t="shared" ref="U50:U52" si="106">S50*B50</f>
        <v>0</v>
      </c>
      <c r="V50" s="39"/>
      <c r="W50" s="38">
        <f t="shared" ref="W50:W52" si="107">V50*C50</f>
        <v>0</v>
      </c>
      <c r="X50" s="38">
        <f t="shared" ref="X50:X52" si="108">V50*B50</f>
        <v>0</v>
      </c>
      <c r="Y50" s="7"/>
    </row>
    <row r="51" spans="1:30">
      <c r="A51" s="7" t="s">
        <v>797</v>
      </c>
      <c r="B51" s="8">
        <f t="shared" si="96"/>
        <v>1.9500000000000002</v>
      </c>
      <c r="C51" s="8">
        <f t="shared" ref="C51" si="109">AVERAGE(D51:E51)</f>
        <v>1.3</v>
      </c>
      <c r="D51" s="60">
        <v>1.3</v>
      </c>
      <c r="F51" s="22">
        <v>32</v>
      </c>
      <c r="G51" s="36">
        <f t="shared" ref="G51" si="110">(J51*$J$2)+(M51*$M$2)+(P51*$P$2)+(S51*$S$2)+(V51*$V$2)+(Y51*$Y$2)+(Z51*$Z$2)+(AA51*$AA$2)+(AB51*$AB$2)+(AC51*$AC$2)</f>
        <v>27</v>
      </c>
      <c r="H51" s="22">
        <f t="shared" ref="H51" si="111">SUM(F51,-G51)</f>
        <v>5</v>
      </c>
      <c r="J51" s="9">
        <v>1</v>
      </c>
      <c r="K51" s="14">
        <f t="shared" ref="K51" si="112">J51*C51</f>
        <v>1.3</v>
      </c>
      <c r="L51" s="14">
        <f t="shared" ref="L51" si="113">J51*B51</f>
        <v>1.9500000000000002</v>
      </c>
      <c r="N51" s="15">
        <f t="shared" ref="N51" si="114">M51*C51</f>
        <v>0</v>
      </c>
      <c r="O51" s="15">
        <f t="shared" ref="O51" si="115">M51*B51</f>
        <v>0</v>
      </c>
      <c r="Q51" s="16">
        <f t="shared" ref="Q51" si="116">P51*C51</f>
        <v>0</v>
      </c>
      <c r="R51" s="16">
        <f t="shared" ref="R51" si="117">P51*B51</f>
        <v>0</v>
      </c>
      <c r="T51" s="17">
        <f t="shared" ref="T51" si="118">S51*C51</f>
        <v>0</v>
      </c>
      <c r="U51" s="17">
        <f t="shared" ref="U51" si="119">S51*B51</f>
        <v>0</v>
      </c>
      <c r="V51" s="39"/>
      <c r="W51" s="38">
        <f t="shared" ref="W51" si="120">V51*C51</f>
        <v>0</v>
      </c>
      <c r="X51" s="38">
        <f t="shared" ref="X51" si="121">V51*B51</f>
        <v>0</v>
      </c>
      <c r="Y51" s="7"/>
    </row>
    <row r="52" spans="1:30">
      <c r="A52" s="7" t="s">
        <v>798</v>
      </c>
      <c r="B52" s="8">
        <f t="shared" si="96"/>
        <v>1.875</v>
      </c>
      <c r="C52" s="8">
        <f t="shared" si="97"/>
        <v>1.25</v>
      </c>
      <c r="D52" s="13">
        <v>1.25</v>
      </c>
      <c r="G52" s="36">
        <f t="shared" si="11"/>
        <v>0</v>
      </c>
      <c r="H52" s="22">
        <f t="shared" si="98"/>
        <v>0</v>
      </c>
      <c r="K52" s="14">
        <f t="shared" si="99"/>
        <v>0</v>
      </c>
      <c r="L52" s="14">
        <f t="shared" si="100"/>
        <v>0</v>
      </c>
      <c r="N52" s="15">
        <f t="shared" si="101"/>
        <v>0</v>
      </c>
      <c r="O52" s="15">
        <f t="shared" si="102"/>
        <v>0</v>
      </c>
      <c r="Q52" s="16">
        <f t="shared" si="103"/>
        <v>0</v>
      </c>
      <c r="R52" s="16">
        <f t="shared" si="104"/>
        <v>0</v>
      </c>
      <c r="T52" s="17">
        <f t="shared" si="105"/>
        <v>0</v>
      </c>
      <c r="U52" s="17">
        <f t="shared" si="106"/>
        <v>0</v>
      </c>
      <c r="V52" s="39"/>
      <c r="W52" s="38">
        <f t="shared" si="107"/>
        <v>0</v>
      </c>
      <c r="X52" s="38">
        <f t="shared" si="108"/>
        <v>0</v>
      </c>
      <c r="Y52" s="7"/>
    </row>
    <row r="53" spans="1:30">
      <c r="V53" s="39"/>
      <c r="W53" s="39"/>
      <c r="X53" s="39"/>
      <c r="Y53" s="7"/>
    </row>
    <row r="54" spans="1:30" s="19" customFormat="1">
      <c r="A54" s="19" t="s">
        <v>845</v>
      </c>
      <c r="B54" s="18"/>
      <c r="C54" s="18"/>
      <c r="D54" s="18"/>
      <c r="E54" s="18"/>
      <c r="F54" s="21"/>
      <c r="G54" s="35"/>
      <c r="H54" s="21"/>
      <c r="I54" s="21"/>
      <c r="J54" s="20"/>
      <c r="K54" s="23">
        <f>SUM(K4:K52)</f>
        <v>20.750800000000002</v>
      </c>
      <c r="L54" s="23">
        <f>SUM(L4:L52)</f>
        <v>31.126200000000001</v>
      </c>
      <c r="M54" s="24"/>
      <c r="N54" s="24">
        <f>SUM(N4:N52)</f>
        <v>29.202400000000001</v>
      </c>
      <c r="O54" s="24">
        <f>SUM(O4:O52)</f>
        <v>43.803599999999996</v>
      </c>
      <c r="P54" s="25"/>
      <c r="Q54" s="25">
        <f>SUM(Q4:Q52)</f>
        <v>0</v>
      </c>
      <c r="R54" s="25">
        <f>SUM(R4:R52)</f>
        <v>0</v>
      </c>
      <c r="S54" s="26"/>
      <c r="T54" s="26">
        <f>SUM(T4:T52)</f>
        <v>14.824999999999999</v>
      </c>
      <c r="U54" s="26">
        <f>SUM(U4:U52)</f>
        <v>22.237499999999997</v>
      </c>
      <c r="V54" s="61"/>
      <c r="W54" s="61">
        <f>SUM(W4:W52)</f>
        <v>12.375</v>
      </c>
      <c r="X54" s="61">
        <f>SUM(X4:X52)</f>
        <v>18.5625</v>
      </c>
      <c r="Y54" s="61"/>
      <c r="Z54" s="40"/>
      <c r="AA54" s="40"/>
      <c r="AB54" s="40"/>
      <c r="AC54" s="40"/>
    </row>
    <row r="55" spans="1:30">
      <c r="A55" s="7" t="s">
        <v>800</v>
      </c>
      <c r="K55" s="30">
        <f>(20*1.33)*5/60</f>
        <v>2.2166666666666668</v>
      </c>
      <c r="L55" s="30">
        <f>((20*1.33)*5/60)*1.5</f>
        <v>3.3250000000000002</v>
      </c>
      <c r="M55" s="31"/>
      <c r="N55" s="31">
        <f>(20*1.33)*7.5/60</f>
        <v>3.3250000000000002</v>
      </c>
      <c r="O55" s="31">
        <f>((20*1.33)*7/60)*1.5</f>
        <v>4.6550000000000002</v>
      </c>
      <c r="P55" s="32"/>
      <c r="Q55" s="32">
        <f>(20*1.33)*5/60</f>
        <v>2.2166666666666668</v>
      </c>
      <c r="R55" s="32">
        <f>(20*1.33)*7/60</f>
        <v>3.1033333333333335</v>
      </c>
      <c r="S55" s="33"/>
      <c r="T55" s="33">
        <f>(20*1.33)*5/60</f>
        <v>2.2166666666666668</v>
      </c>
      <c r="U55" s="33">
        <f>((20*1.33)*5/60)*1.5</f>
        <v>3.3250000000000002</v>
      </c>
      <c r="V55" s="41"/>
      <c r="W55" s="41">
        <f>(20*1.33)*3/60</f>
        <v>1.3300000000000003</v>
      </c>
      <c r="X55" s="41">
        <f>((20*1.33)*3/60)*1.5</f>
        <v>1.9950000000000006</v>
      </c>
      <c r="Y55" s="41"/>
      <c r="Z55" s="41"/>
      <c r="AA55" s="41"/>
      <c r="AB55" s="41"/>
      <c r="AC55" s="41"/>
    </row>
    <row r="56" spans="1:30" s="49" customFormat="1" ht="19">
      <c r="A56" s="49" t="s">
        <v>802</v>
      </c>
      <c r="B56" s="45"/>
      <c r="C56" s="45"/>
      <c r="D56" s="45"/>
      <c r="E56" s="45"/>
      <c r="F56" s="46"/>
      <c r="G56" s="47"/>
      <c r="H56" s="46"/>
      <c r="I56" s="46"/>
      <c r="J56" s="52"/>
      <c r="K56" s="53">
        <f>SUM(K54:K55)</f>
        <v>22.967466666666667</v>
      </c>
      <c r="L56" s="53">
        <f t="shared" ref="L56:U56" si="122">SUM(L54:L55)</f>
        <v>34.4512</v>
      </c>
      <c r="M56" s="54"/>
      <c r="N56" s="54">
        <f t="shared" si="122"/>
        <v>32.5274</v>
      </c>
      <c r="O56" s="54">
        <f t="shared" si="122"/>
        <v>48.458599999999997</v>
      </c>
      <c r="P56" s="55"/>
      <c r="Q56" s="55">
        <f t="shared" si="122"/>
        <v>2.2166666666666668</v>
      </c>
      <c r="R56" s="55">
        <f t="shared" si="122"/>
        <v>3.1033333333333335</v>
      </c>
      <c r="S56" s="56"/>
      <c r="T56" s="56">
        <f t="shared" si="122"/>
        <v>17.041666666666664</v>
      </c>
      <c r="U56" s="56">
        <f t="shared" si="122"/>
        <v>25.562499999999996</v>
      </c>
      <c r="V56" s="57"/>
      <c r="W56" s="57">
        <f t="shared" ref="W56:X56" si="123">SUM(W54:W55)</f>
        <v>13.705</v>
      </c>
      <c r="X56" s="57">
        <f t="shared" si="123"/>
        <v>20.557500000000001</v>
      </c>
      <c r="Y56" s="57"/>
      <c r="Z56" s="57"/>
      <c r="AA56" s="57"/>
      <c r="AB56" s="57"/>
      <c r="AC56" s="57"/>
      <c r="AD56" s="58"/>
    </row>
    <row r="57" spans="1:30">
      <c r="K57" s="27"/>
      <c r="L57" s="27"/>
      <c r="M57" s="28"/>
      <c r="N57" s="28"/>
      <c r="O57" s="28"/>
      <c r="P57" s="29"/>
      <c r="Q57" s="29"/>
      <c r="R57" s="29"/>
      <c r="S57" s="13"/>
      <c r="T57" s="13"/>
      <c r="U57" s="13"/>
      <c r="V57" s="42"/>
      <c r="W57" s="42"/>
      <c r="X57" s="42"/>
      <c r="Y57" s="7"/>
    </row>
    <row r="58" spans="1:30">
      <c r="A58" s="7" t="s">
        <v>803</v>
      </c>
      <c r="K58" s="27"/>
      <c r="L58" s="27"/>
      <c r="M58" s="28"/>
      <c r="N58" s="28"/>
      <c r="O58" s="28"/>
      <c r="P58" s="29"/>
      <c r="Q58" s="29"/>
      <c r="R58" s="29"/>
      <c r="S58" s="13"/>
      <c r="T58" s="13"/>
      <c r="U58" s="13"/>
      <c r="V58" s="42"/>
      <c r="W58" s="42"/>
      <c r="X58" s="42"/>
      <c r="Y58" s="7"/>
    </row>
    <row r="59" spans="1:30">
      <c r="A59" s="7" t="s">
        <v>804</v>
      </c>
      <c r="K59" s="27"/>
      <c r="L59" s="27"/>
      <c r="M59" s="28"/>
      <c r="N59" s="28"/>
      <c r="O59" s="28"/>
      <c r="P59" s="29"/>
      <c r="Q59" s="29"/>
      <c r="R59" s="29"/>
      <c r="S59" s="13"/>
      <c r="T59" s="13"/>
      <c r="U59" s="13"/>
      <c r="V59" s="42"/>
      <c r="W59" s="42"/>
      <c r="X59" s="42"/>
      <c r="Y59" s="7"/>
    </row>
    <row r="60" spans="1:30">
      <c r="V60" s="39"/>
      <c r="W60" s="39"/>
      <c r="X60" s="39"/>
      <c r="Y60" s="7"/>
    </row>
    <row r="61" spans="1:30">
      <c r="V61" s="39"/>
      <c r="W61" s="39"/>
      <c r="X61" s="39"/>
      <c r="Y61" s="7"/>
    </row>
    <row r="62" spans="1:30">
      <c r="B62" s="13"/>
      <c r="C62" s="8" t="s">
        <v>805</v>
      </c>
      <c r="V62" s="39"/>
      <c r="W62" s="39"/>
      <c r="X62" s="39"/>
      <c r="Y62" s="7"/>
    </row>
    <row r="63" spans="1:30">
      <c r="V63" s="39"/>
      <c r="W63" s="39"/>
      <c r="X63" s="39"/>
      <c r="Y63" s="7"/>
    </row>
  </sheetData>
  <mergeCells count="5">
    <mergeCell ref="J2:L2"/>
    <mergeCell ref="M2:O2"/>
    <mergeCell ref="P2:R2"/>
    <mergeCell ref="S2:U2"/>
    <mergeCell ref="V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IMPT INFO</vt:lpstr>
      <vt:lpstr>Master Variety List</vt:lpstr>
      <vt:lpstr>version info</vt:lpstr>
      <vt:lpstr>Averages</vt:lpstr>
      <vt:lpstr>Early Spring</vt:lpstr>
      <vt:lpstr>Late Spring</vt:lpstr>
      <vt:lpstr>Summer</vt:lpstr>
      <vt:lpstr>Fall</vt:lpstr>
      <vt:lpstr>Formula Expt.</vt:lpstr>
      <vt:lpstr>Varieties By Season</vt:lpstr>
      <vt:lpstr>Old Flower List</vt:lpstr>
      <vt:lpstr>Sheet1</vt:lpstr>
      <vt:lpstr>LFL - Lisianthus</vt:lpstr>
      <vt:lpstr>Lauren's Conclusions</vt:lpstr>
      <vt:lpstr>Recipe Template</vt:lpstr>
      <vt:lpstr>8.11 Recipe</vt:lpstr>
      <vt:lpstr>definitions</vt:lpstr>
      <vt:lpstr>March-April</vt:lpstr>
      <vt:lpstr>May-June</vt:lpstr>
      <vt:lpstr>July-Aug</vt:lpstr>
      <vt:lpstr>Sept - Oct</vt:lpstr>
      <vt:lpstr>Mother's Day</vt:lpstr>
      <vt:lpstr>05.14.22</vt:lpstr>
      <vt:lpstr>05.21.22</vt:lpstr>
      <vt:lpstr>05.28.22</vt:lpstr>
      <vt:lpstr>06.10.22</vt:lpstr>
      <vt:lpstr>06.17.22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Hays</dc:creator>
  <cp:keywords/>
  <dc:description/>
  <cp:lastModifiedBy>Sweet Piedmont</cp:lastModifiedBy>
  <cp:revision/>
  <dcterms:created xsi:type="dcterms:W3CDTF">2022-06-17T12:03:17Z</dcterms:created>
  <dcterms:modified xsi:type="dcterms:W3CDTF">2026-02-09T19:46:15Z</dcterms:modified>
  <cp:category/>
  <cp:contentStatus/>
</cp:coreProperties>
</file>