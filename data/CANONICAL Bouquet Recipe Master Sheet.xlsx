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083433DE-08A7-0845-ACCA-1BA8DE43E151}" xr6:coauthVersionLast="47" xr6:coauthVersionMax="47" xr10:uidLastSave="{00000000-0000-0000-0000-000000000000}"/>
  <bookViews>
    <workbookView xWindow="506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1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1" l="1"/>
  <c r="D23" i="21" s="1"/>
  <c r="E24" i="21"/>
  <c r="D24" i="21" s="1"/>
  <c r="E25" i="21"/>
  <c r="D25" i="21" s="1"/>
  <c r="E26" i="21"/>
  <c r="D26" i="21" s="1"/>
  <c r="E27" i="21"/>
  <c r="D27" i="21" s="1"/>
  <c r="E28" i="21"/>
  <c r="D28" i="21" s="1"/>
  <c r="E29" i="21"/>
  <c r="D29" i="21" s="1"/>
  <c r="E30" i="21"/>
  <c r="D30" i="21" s="1"/>
  <c r="E31" i="21"/>
  <c r="E32" i="21"/>
  <c r="D32" i="21" s="1"/>
  <c r="E33" i="21"/>
  <c r="D33" i="21" s="1"/>
  <c r="E34" i="21"/>
  <c r="D34" i="21" s="1"/>
  <c r="E35" i="21"/>
  <c r="D35" i="21" s="1"/>
  <c r="E36" i="21"/>
  <c r="D36" i="21" s="1"/>
  <c r="E37" i="21"/>
  <c r="D37" i="21" s="1"/>
  <c r="E38" i="21"/>
  <c r="D38" i="21" s="1"/>
  <c r="E39" i="21"/>
  <c r="D39" i="21" s="1"/>
  <c r="E67" i="21"/>
  <c r="D67" i="21" s="1"/>
  <c r="E22" i="21"/>
  <c r="D22" i="21" s="1"/>
  <c r="E15" i="21"/>
  <c r="D15" i="21" s="1"/>
  <c r="E40" i="21"/>
  <c r="D40" i="21" s="1"/>
  <c r="E41" i="21"/>
  <c r="D41" i="21" s="1"/>
  <c r="E16" i="21"/>
  <c r="D16" i="21" s="1"/>
  <c r="E42" i="21"/>
  <c r="D42" i="21" s="1"/>
  <c r="E104" i="21"/>
  <c r="D104" i="21" s="1"/>
  <c r="E2" i="21"/>
  <c r="D2" i="21" s="1"/>
  <c r="E3" i="21"/>
  <c r="D3" i="21" s="1"/>
  <c r="E4" i="21"/>
  <c r="D4" i="21" s="1"/>
  <c r="E50" i="21"/>
  <c r="D50" i="21" s="1"/>
  <c r="E63" i="21"/>
  <c r="E64" i="21"/>
  <c r="D64" i="21" s="1"/>
  <c r="E43" i="21"/>
  <c r="D43" i="21" s="1"/>
  <c r="E105" i="21"/>
  <c r="D105" i="21" s="1"/>
  <c r="E65" i="21"/>
  <c r="D65" i="21" s="1"/>
  <c r="E66" i="21"/>
  <c r="D66" i="21" s="1"/>
  <c r="E18" i="21"/>
  <c r="D18" i="21" s="1"/>
  <c r="E44" i="21"/>
  <c r="D44" i="21" s="1"/>
  <c r="E45" i="21"/>
  <c r="D45" i="21" s="1"/>
  <c r="E90" i="21"/>
  <c r="D90" i="21" s="1"/>
  <c r="E107" i="21"/>
  <c r="D107" i="21" s="1"/>
  <c r="E113" i="21"/>
  <c r="D113" i="21" s="1"/>
  <c r="E117" i="21"/>
  <c r="D117" i="21" s="1"/>
  <c r="E91" i="21"/>
  <c r="D91" i="21" s="1"/>
  <c r="E83" i="21"/>
  <c r="D83" i="21" s="1"/>
  <c r="E19" i="21"/>
  <c r="D19" i="21" s="1"/>
  <c r="E20" i="21"/>
  <c r="D20" i="21" s="1"/>
  <c r="E84" i="21"/>
  <c r="D84" i="21" s="1"/>
  <c r="E85" i="21"/>
  <c r="D85" i="21" s="1"/>
  <c r="E46" i="21"/>
  <c r="D46" i="21" s="1"/>
  <c r="E86" i="21"/>
  <c r="D86" i="21" s="1"/>
  <c r="E87" i="21"/>
  <c r="D87" i="21" s="1"/>
  <c r="E106" i="21"/>
  <c r="D106" i="21" s="1"/>
  <c r="E68" i="21"/>
  <c r="D68" i="21" s="1"/>
  <c r="E47" i="21"/>
  <c r="D47" i="21" s="1"/>
  <c r="E21" i="21"/>
  <c r="D21" i="21" s="1"/>
  <c r="E88" i="21"/>
  <c r="D88" i="21" s="1"/>
  <c r="E48" i="21"/>
  <c r="D48" i="21" s="1"/>
  <c r="E9" i="21"/>
  <c r="D9" i="21" s="1"/>
  <c r="E10" i="21"/>
  <c r="D10" i="21" s="1"/>
  <c r="E11" i="21"/>
  <c r="D11" i="21" s="1"/>
  <c r="E12" i="21"/>
  <c r="D12" i="21" s="1"/>
  <c r="E13" i="21"/>
  <c r="D13" i="21" s="1"/>
  <c r="E49" i="21"/>
  <c r="D49" i="21" s="1"/>
  <c r="E89" i="21"/>
  <c r="D89" i="21" s="1"/>
  <c r="E5" i="21"/>
  <c r="D5" i="21" s="1"/>
  <c r="E51" i="21"/>
  <c r="D51" i="21" s="1"/>
  <c r="E92" i="21"/>
  <c r="D92" i="21" s="1"/>
  <c r="E69" i="21"/>
  <c r="D69" i="21" s="1"/>
  <c r="E52" i="21"/>
  <c r="D52" i="21" s="1"/>
  <c r="E93" i="21"/>
  <c r="D93" i="21" s="1"/>
  <c r="E94" i="21"/>
  <c r="D94" i="21" s="1"/>
  <c r="E95" i="21"/>
  <c r="D95" i="21" s="1"/>
  <c r="E70" i="21"/>
  <c r="D70" i="21" s="1"/>
  <c r="E96" i="21"/>
  <c r="D96" i="21" s="1"/>
  <c r="E109" i="21"/>
  <c r="D109" i="21" s="1"/>
  <c r="E110" i="21"/>
  <c r="D110" i="21" s="1"/>
  <c r="E53" i="21"/>
  <c r="D53" i="21" s="1"/>
  <c r="E97" i="21"/>
  <c r="D97" i="21" s="1"/>
  <c r="E71" i="21"/>
  <c r="D71" i="21" s="1"/>
  <c r="E98" i="21"/>
  <c r="D98" i="21" s="1"/>
  <c r="E99" i="21"/>
  <c r="D99" i="21" s="1"/>
  <c r="E111" i="21"/>
  <c r="D111" i="21" s="1"/>
  <c r="E54" i="21"/>
  <c r="D54" i="21" s="1"/>
  <c r="E72" i="21"/>
  <c r="D72" i="21" s="1"/>
  <c r="E6" i="21"/>
  <c r="D6" i="21" s="1"/>
  <c r="E73" i="21"/>
  <c r="D73" i="21" s="1"/>
  <c r="E100" i="21"/>
  <c r="D100" i="21" s="1"/>
  <c r="E82" i="21"/>
  <c r="D82" i="21" s="1"/>
  <c r="E114" i="21"/>
  <c r="D114" i="21" s="1"/>
  <c r="E74" i="21"/>
  <c r="D74" i="21" s="1"/>
  <c r="E55" i="21"/>
  <c r="D55" i="21" s="1"/>
  <c r="E101" i="21"/>
  <c r="D101" i="21" s="1"/>
  <c r="E56" i="21"/>
  <c r="D56" i="21" s="1"/>
  <c r="E57" i="21"/>
  <c r="D57" i="21" s="1"/>
  <c r="E75" i="21"/>
  <c r="D75" i="21" s="1"/>
  <c r="E102" i="21"/>
  <c r="D102" i="21" s="1"/>
  <c r="E103" i="21"/>
  <c r="D103" i="21" s="1"/>
  <c r="E76" i="21"/>
  <c r="D76" i="21" s="1"/>
  <c r="E115" i="21"/>
  <c r="D115" i="21" s="1"/>
  <c r="E7" i="21"/>
  <c r="D7" i="21" s="1"/>
  <c r="E77" i="21"/>
  <c r="D77" i="21" s="1"/>
  <c r="E116" i="21"/>
  <c r="D116" i="21" s="1"/>
  <c r="E8" i="21"/>
  <c r="D8" i="21" s="1"/>
  <c r="E78" i="21"/>
  <c r="D78" i="21" s="1"/>
  <c r="E79" i="21"/>
  <c r="D79" i="21" s="1"/>
  <c r="E58" i="21"/>
  <c r="D58" i="21" s="1"/>
  <c r="E80" i="21"/>
  <c r="D80" i="21" s="1"/>
  <c r="E59" i="21"/>
  <c r="D59" i="21" s="1"/>
  <c r="E60" i="21"/>
  <c r="D60" i="21" s="1"/>
  <c r="E81" i="21"/>
  <c r="D81" i="21" s="1"/>
  <c r="E118" i="21"/>
  <c r="D118" i="21" s="1"/>
  <c r="E119" i="21"/>
  <c r="D119" i="21" s="1"/>
  <c r="E120" i="21"/>
  <c r="D120" i="21" s="1"/>
  <c r="E121" i="21"/>
  <c r="D121" i="21" s="1"/>
  <c r="E122" i="21"/>
  <c r="D122" i="21" s="1"/>
  <c r="E123" i="21"/>
  <c r="D123" i="21" s="1"/>
  <c r="E124" i="21"/>
  <c r="D124" i="21" s="1"/>
  <c r="E125" i="21"/>
  <c r="D125" i="21" s="1"/>
  <c r="E126" i="21"/>
  <c r="D126" i="21" s="1"/>
  <c r="E127" i="21"/>
  <c r="D127" i="21" s="1"/>
  <c r="E128" i="21"/>
  <c r="D128" i="21" s="1"/>
  <c r="E129" i="21"/>
  <c r="D129" i="21" s="1"/>
  <c r="E130" i="21"/>
  <c r="D130" i="21" s="1"/>
  <c r="E131" i="21"/>
  <c r="D131" i="21" s="1"/>
  <c r="E132" i="21"/>
  <c r="D132" i="21" s="1"/>
  <c r="E133" i="21"/>
  <c r="D133" i="21" s="1"/>
  <c r="E134" i="21"/>
  <c r="D134" i="21" s="1"/>
  <c r="E135" i="21"/>
  <c r="D135" i="21" s="1"/>
  <c r="E136" i="21"/>
  <c r="D136" i="21" s="1"/>
  <c r="E137" i="21"/>
  <c r="D137" i="21" s="1"/>
  <c r="E138" i="21"/>
  <c r="D138" i="21" s="1"/>
  <c r="E139" i="21"/>
  <c r="D139" i="21" s="1"/>
  <c r="E140" i="21"/>
  <c r="D140" i="21" s="1"/>
  <c r="E141" i="21"/>
  <c r="D141" i="21" s="1"/>
  <c r="E142" i="21"/>
  <c r="D142" i="21" s="1"/>
  <c r="E143" i="21"/>
  <c r="D143" i="21" s="1"/>
  <c r="E144" i="21"/>
  <c r="D144" i="21" s="1"/>
  <c r="E145" i="21"/>
  <c r="D145" i="21" s="1"/>
  <c r="E146" i="21"/>
  <c r="D146" i="21" s="1"/>
  <c r="E147" i="21"/>
  <c r="D147" i="21" s="1"/>
  <c r="E148" i="21"/>
  <c r="D148" i="21" s="1"/>
  <c r="E149" i="21"/>
  <c r="D149" i="21" s="1"/>
  <c r="E150" i="21"/>
  <c r="D150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D157" i="21" s="1"/>
  <c r="E158" i="21"/>
  <c r="D158" i="21" s="1"/>
  <c r="E159" i="21"/>
  <c r="D159" i="21" s="1"/>
  <c r="E14" i="21"/>
  <c r="D14" i="21" s="1"/>
  <c r="E160" i="21"/>
  <c r="D160" i="21" s="1"/>
  <c r="E161" i="21"/>
  <c r="D161" i="21" s="1"/>
  <c r="E162" i="21"/>
  <c r="D162" i="21" s="1"/>
  <c r="E163" i="21"/>
  <c r="D163" i="21" s="1"/>
  <c r="E164" i="21"/>
  <c r="D164" i="21" s="1"/>
  <c r="E165" i="21"/>
  <c r="D165" i="21" s="1"/>
  <c r="E166" i="21"/>
  <c r="D166" i="21" s="1"/>
  <c r="E167" i="21"/>
  <c r="D167" i="21" s="1"/>
  <c r="E168" i="21"/>
  <c r="D168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D201" i="21" s="1"/>
  <c r="E202" i="21"/>
  <c r="D202" i="21" s="1"/>
  <c r="E203" i="21"/>
  <c r="D203" i="21" s="1"/>
  <c r="E204" i="21"/>
  <c r="D204" i="21" s="1"/>
  <c r="E205" i="21"/>
  <c r="D205" i="21" s="1"/>
  <c r="E206" i="21"/>
  <c r="D206" i="21" s="1"/>
  <c r="E207" i="21"/>
  <c r="D207" i="21" s="1"/>
  <c r="E208" i="21"/>
  <c r="D208" i="21" s="1"/>
  <c r="E209" i="21"/>
  <c r="D209" i="21" s="1"/>
  <c r="E210" i="21"/>
  <c r="D210" i="21" s="1"/>
  <c r="E211" i="21"/>
  <c r="D211" i="21" s="1"/>
  <c r="E212" i="21"/>
  <c r="D212" i="21" s="1"/>
  <c r="E213" i="21"/>
  <c r="D213" i="21" s="1"/>
  <c r="E214" i="21"/>
  <c r="D214" i="21" s="1"/>
  <c r="E215" i="21"/>
  <c r="D215" i="21" s="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D231" i="21" s="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D237" i="21" s="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62" i="21"/>
  <c r="D62" i="21" s="1"/>
  <c r="E61" i="21"/>
  <c r="D61" i="21" s="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8" i="21"/>
  <c r="F112" i="21"/>
  <c r="H17" i="21"/>
  <c r="F31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31" i="21" l="1"/>
  <c r="E17" i="21"/>
  <c r="D17" i="21" s="1"/>
  <c r="E112" i="21"/>
  <c r="D112" i="21" s="1"/>
  <c r="E108" i="21"/>
  <c r="D108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63" i="21"/>
</calcChain>
</file>

<file path=xl/sharedStrings.xml><?xml version="1.0" encoding="utf-8"?>
<sst xmlns="http://schemas.openxmlformats.org/spreadsheetml/2006/main" count="5234" uniqueCount="898">
  <si>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</si>
  <si>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</si>
  <si>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</si>
  <si>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</si>
  <si>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</si>
  <si>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</si>
  <si>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</si>
  <si>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</si>
  <si>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</si>
  <si>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</si>
  <si>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</si>
  <si>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</si>
  <si>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</si>
  <si>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</si>
  <si>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</si>
  <si>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</si>
  <si>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</si>
  <si>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</si>
  <si>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</si>
  <si>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</si>
  <si>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</si>
  <si>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</si>
  <si>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</si>
  <si>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</si>
  <si>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</si>
  <si>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</si>
  <si>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</si>
  <si>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</si>
  <si>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</si>
  <si>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</si>
  <si>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</si>
  <si>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</si>
  <si>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</si>
  <si>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</si>
  <si>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</si>
  <si>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</si>
  <si>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</si>
  <si>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</si>
  <si>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</si>
  <si>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</si>
  <si>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</si>
  <si>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</si>
  <si>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</si>
  <si>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</si>
  <si>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</si>
  <si>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</si>
  <si>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</si>
  <si>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</si>
  <si>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</si>
  <si>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</si>
  <si>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</si>
  <si>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</si>
  <si>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</si>
  <si>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</si>
  <si>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</si>
  <si>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</si>
  <si>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</si>
  <si>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</si>
  <si>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</si>
  <si>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</si>
  <si>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</si>
  <si>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</si>
  <si>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</si>
  <si>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</si>
  <si>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</si>
  <si>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</si>
  <si>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</si>
  <si>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</si>
  <si>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</si>
  <si>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</si>
  <si>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</si>
  <si>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</si>
  <si>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</si>
  <si>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</si>
  <si>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</si>
  <si>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</si>
  <si>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</si>
  <si>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</si>
  <si>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</si>
  <si>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</si>
  <si>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</si>
  <si>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</si>
  <si>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</si>
  <si>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</si>
  <si>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</si>
  <si>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</si>
  <si>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</si>
  <si>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</si>
  <si>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</si>
  <si>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</si>
  <si>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</si>
  <si>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</si>
  <si>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</si>
  <si>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</si>
  <si>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</si>
  <si>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</si>
  <si>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</si>
  <si>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</si>
  <si>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</si>
  <si>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</si>
  <si>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</si>
  <si>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</si>
  <si>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</si>
  <si>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</si>
  <si>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</si>
  <si>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</si>
  <si>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</si>
  <si>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</si>
  <si>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</si>
  <si>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</si>
  <si>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</si>
  <si>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</si>
  <si>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</si>
  <si>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</si>
  <si>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</si>
  <si>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</si>
  <si>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</si>
  <si>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</si>
  <si>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</si>
  <si>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</si>
  <si>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</si>
  <si>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</si>
  <si>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</si>
  <si>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</si>
  <si>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</si>
  <si>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</si>
  <si>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</si>
  <si>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</si>
  <si>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</si>
  <si>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</si>
  <si>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</si>
  <si>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</si>
  <si>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</si>
  <si>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</si>
  <si>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</si>
  <si>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</si>
  <si>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</si>
  <si>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</si>
  <si>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</si>
  <si>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</si>
  <si>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</si>
  <si>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</si>
  <si>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</si>
  <si>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</si>
  <si>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</si>
  <si>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</si>
  <si>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</si>
  <si>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</si>
  <si>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</si>
  <si>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</si>
  <si>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</si>
  <si>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</si>
  <si>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</si>
  <si>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</si>
  <si>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</si>
  <si>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</si>
  <si>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</si>
  <si>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</si>
  <si>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</si>
  <si>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</si>
  <si>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</si>
  <si>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</si>
  <si>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</si>
  <si>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</si>
  <si>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</si>
  <si>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</si>
  <si>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</si>
  <si>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</si>
  <si>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</si>
  <si>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</si>
  <si>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</si>
  <si>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</si>
  <si>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</si>
  <si>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</si>
  <si>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</si>
  <si>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</si>
  <si>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</si>
  <si>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</si>
  <si>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</si>
  <si>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</si>
  <si>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</si>
  <si>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</si>
  <si>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</si>
  <si>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</si>
  <si>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</si>
  <si>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</si>
  <si>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</si>
  <si>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</si>
  <si>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</si>
  <si>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</si>
  <si>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</si>
  <si>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</si>
  <si>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</si>
  <si>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</si>
  <si>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</si>
  <si>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</si>
  <si>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</si>
  <si>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</si>
  <si>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</si>
  <si>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</si>
  <si>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</si>
  <si>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</si>
  <si>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</si>
  <si>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</si>
  <si>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</si>
  <si>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</si>
  <si>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</si>
  <si>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</si>
  <si>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</si>
  <si>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</si>
  <si>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</si>
  <si>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</si>
  <si>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</si>
  <si>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</si>
  <si>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</si>
  <si>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</si>
  <si>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</si>
  <si>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</si>
  <si>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</si>
  <si>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</si>
  <si>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</si>
  <si>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</si>
  <si>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</si>
  <si>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</si>
  <si>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</si>
  <si>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</si>
  <si>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</si>
  <si>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</si>
  <si>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</si>
  <si>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</si>
  <si>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</si>
  <si>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</si>
  <si>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</si>
  <si>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</si>
  <si>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</si>
  <si>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</si>
  <si>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</si>
  <si>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</si>
  <si>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</si>
  <si>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</si>
  <si>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</si>
  <si>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</si>
  <si>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</si>
  <si>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</si>
  <si>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</si>
  <si>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</si>
  <si>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</si>
  <si>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</si>
  <si>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</si>
  <si>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</si>
  <si>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</si>
  <si>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</si>
  <si>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</si>
  <si>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</si>
  <si>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</si>
  <si>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</si>
  <si>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</si>
  <si>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</si>
  <si>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</si>
  <si>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</si>
  <si>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</si>
  <si>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</si>
  <si>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</si>
  <si>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</si>
  <si>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</si>
  <si>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</si>
  <si>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</si>
  <si>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</si>
  <si>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</si>
  <si>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</si>
  <si>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</si>
  <si>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</si>
  <si>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</si>
  <si>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</si>
  <si>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</si>
  <si>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</si>
  <si>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</si>
  <si>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</si>
  <si>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</si>
  <si>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</si>
  <si>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</si>
  <si>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</si>
  <si>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</si>
  <si>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</si>
  <si>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</si>
  <si>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</si>
  <si>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</si>
  <si>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</si>
  <si>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</si>
  <si>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</si>
  <si>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</si>
  <si>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</si>
  <si>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</si>
  <si>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</si>
  <si>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</si>
  <si>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</si>
  <si>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</si>
  <si>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</si>
  <si>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</si>
  <si>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</si>
  <si>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</si>
  <si>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</si>
  <si>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</si>
  <si>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</si>
  <si>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</si>
  <si>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</si>
  <si>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</si>
  <si>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</si>
  <si>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</si>
  <si>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</si>
  <si>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</si>
  <si>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</si>
  <si>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</si>
  <si>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</si>
  <si>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</si>
  <si>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</si>
  <si>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</si>
  <si>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</si>
  <si>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</si>
  <si>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</si>
  <si>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</si>
  <si>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</si>
  <si>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</si>
  <si>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</si>
  <si>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</si>
  <si>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</si>
  <si>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</si>
  <si>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</si>
  <si>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</si>
  <si>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</si>
  <si>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</si>
  <si>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</si>
  <si>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</si>
  <si>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</si>
  <si>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</si>
  <si>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</si>
  <si>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</si>
  <si>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</si>
  <si>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</si>
  <si>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</si>
  <si>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</si>
  <si>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</si>
  <si>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</si>
  <si>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</si>
  <si>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</si>
  <si>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</si>
  <si>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</si>
  <si>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</si>
  <si>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</si>
  <si>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</si>
  <si>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</si>
  <si>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</si>
  <si>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</si>
  <si>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</si>
  <si>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</si>
  <si>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</si>
  <si>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</si>
  <si>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</si>
  <si>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</si>
  <si>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</si>
  <si>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</si>
  <si>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</si>
  <si>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</si>
  <si>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</si>
  <si>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</si>
  <si>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</si>
  <si>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</si>
  <si>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</si>
  <si>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</si>
  <si>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</si>
  <si>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</si>
  <si>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</si>
  <si>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</si>
  <si>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</si>
  <si>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</si>
  <si>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</si>
  <si>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</si>
  <si>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</si>
  <si>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</si>
  <si>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</si>
  <si>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</si>
  <si>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</si>
  <si>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</si>
  <si>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</si>
  <si>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</si>
  <si>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</si>
  <si>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</si>
  <si>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</si>
  <si>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</si>
  <si>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</si>
  <si>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</si>
  <si>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</si>
  <si>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</si>
  <si>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</si>
  <si>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</si>
  <si>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</si>
  <si>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</si>
  <si>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</si>
  <si>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</si>
  <si>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</si>
  <si>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</si>
  <si>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</si>
  <si>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</si>
  <si>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</si>
  <si>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</si>
  <si>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</si>
  <si>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</si>
  <si>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</si>
  <si>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</si>
  <si>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</si>
  <si>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</si>
  <si>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</si>
  <si>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</si>
  <si>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</si>
  <si>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</si>
  <si>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</si>
  <si>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</si>
  <si>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</si>
  <si>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</si>
  <si>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</si>
  <si>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</si>
  <si>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</si>
  <si>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</si>
  <si>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</si>
  <si>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</si>
  <si>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</si>
  <si>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</si>
  <si>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</si>
  <si>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</si>
  <si>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</si>
  <si>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</si>
  <si>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</si>
  <si>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</si>
  <si>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</si>
  <si>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</si>
  <si>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</si>
  <si>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</si>
  <si>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</si>
  <si>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</si>
  <si>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</si>
  <si>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</si>
  <si>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</si>
  <si>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</si>
  <si>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</si>
  <si>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</si>
  <si>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</si>
  <si>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</si>
  <si>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</si>
  <si>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</si>
  <si>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</si>
  <si>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</si>
  <si>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</si>
  <si>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</si>
  <si>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</si>
  <si>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</si>
  <si>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</si>
  <si>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</si>
  <si>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</si>
  <si>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</si>
  <si>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</si>
  <si>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</si>
  <si>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</si>
  <si>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</si>
  <si>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</si>
  <si>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</si>
  <si>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</si>
  <si>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</si>
  <si>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</si>
  <si>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</si>
  <si>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</si>
  <si>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</si>
  <si>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</si>
  <si>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</si>
  <si>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</si>
  <si>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</si>
  <si>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</si>
  <si>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</si>
  <si>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</si>
  <si>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</si>
  <si>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</si>
  <si>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</si>
  <si>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</si>
  <si>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</si>
  <si>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</si>
  <si>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</si>
  <si>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</si>
  <si>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</si>
  <si>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</si>
  <si>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</si>
  <si>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</si>
  <si>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</si>
  <si>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</si>
  <si>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</si>
  <si>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</si>
  <si>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</si>
  <si>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</si>
  <si>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</si>
  <si>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</si>
  <si>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</si>
  <si>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</si>
  <si>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</si>
  <si>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</si>
  <si>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</si>
  <si>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</si>
  <si>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</si>
  <si>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</si>
  <si>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</si>
  <si>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</si>
  <si>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</si>
  <si>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</si>
  <si>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</si>
  <si>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</si>
  <si>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</si>
  <si>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</si>
  <si>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</si>
  <si>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</si>
  <si>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</si>
  <si>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</si>
  <si>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</si>
  <si>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</si>
  <si>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</si>
  <si>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</si>
  <si>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</si>
  <si>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</si>
  <si>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</si>
  <si>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</si>
  <si>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</si>
  <si>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</si>
  <si>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</si>
  <si>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</si>
  <si>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</si>
  <si>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</si>
  <si>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</si>
  <si>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</si>
  <si>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</si>
  <si>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</si>
  <si>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</si>
  <si>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</si>
  <si>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</si>
  <si>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</si>
  <si>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</si>
  <si>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</si>
  <si>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</si>
  <si>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</si>
  <si>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</si>
  <si>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</si>
  <si>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</si>
  <si>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</si>
  <si>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</si>
  <si>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</si>
  <si>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</si>
  <si>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</si>
  <si>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</si>
  <si>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</si>
  <si>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</si>
  <si>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</si>
  <si>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</si>
  <si>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</si>
  <si>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</si>
  <si>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</si>
  <si>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</si>
  <si>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</si>
  <si>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</si>
  <si>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</si>
  <si>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</si>
  <si>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</si>
  <si>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</si>
  <si>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</si>
  <si>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</si>
  <si>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</si>
  <si>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</si>
  <si>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</si>
  <si>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</si>
  <si>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</si>
  <si>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</si>
  <si>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</si>
  <si>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</si>
  <si>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</si>
  <si>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</si>
  <si>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</si>
  <si>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</si>
  <si>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</si>
  <si>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</si>
  <si>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</si>
  <si>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</si>
  <si>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</si>
  <si>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</si>
  <si>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</si>
  <si>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</si>
  <si>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</si>
  <si>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</si>
  <si>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</si>
  <si>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</si>
  <si>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</si>
  <si>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</si>
  <si>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</si>
  <si>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</si>
  <si>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</si>
  <si>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</si>
  <si>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</si>
  <si>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</si>
  <si>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</si>
  <si>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</si>
  <si>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</si>
  <si>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</si>
  <si>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</si>
  <si>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</si>
  <si>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</si>
  <si>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</si>
  <si>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</si>
  <si>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</si>
  <si>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</si>
  <si>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</si>
  <si>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</si>
  <si>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</si>
  <si>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</si>
  <si>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</si>
  <si>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</si>
  <si>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</si>
  <si>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</si>
  <si>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</si>
  <si>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</si>
  <si>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</si>
  <si>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</si>
  <si>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</si>
  <si>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</si>
  <si>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</si>
  <si>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</si>
  <si>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</si>
  <si>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</si>
  <si>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</si>
  <si>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</si>
  <si>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</si>
  <si>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</si>
  <si>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</si>
  <si>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</si>
  <si>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</si>
  <si>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</si>
  <si>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</si>
  <si>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</si>
  <si>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</si>
  <si>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</si>
  <si>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</si>
  <si>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</si>
  <si>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</si>
  <si>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</si>
  <si>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</si>
  <si>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</si>
  <si>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</si>
  <si>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</si>
  <si>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</si>
  <si>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</si>
  <si>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</si>
  <si>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</si>
  <si>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</si>
  <si>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</si>
  <si>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</si>
  <si>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</si>
  <si>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</si>
  <si>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</si>
  <si>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</si>
  <si>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</si>
  <si>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</si>
  <si>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</si>
  <si>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</si>
  <si>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</si>
  <si>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</si>
  <si>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</si>
  <si>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</si>
  <si>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</si>
  <si>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</si>
  <si>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</si>
  <si>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</si>
  <si>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</si>
  <si>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</si>
  <si>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</si>
  <si>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</si>
  <si>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</si>
  <si>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</si>
  <si>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</si>
  <si>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</si>
  <si>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</si>
  <si>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</si>
  <si>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</si>
  <si>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</si>
  <si>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</si>
  <si>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</si>
  <si>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</si>
  <si>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</si>
  <si>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</si>
  <si>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</si>
  <si>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</si>
  <si>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</si>
  <si>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</si>
  <si>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</si>
  <si>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</si>
  <si>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</si>
  <si>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</si>
  <si>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</si>
  <si>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</si>
  <si>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</si>
  <si>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</si>
  <si>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</si>
  <si>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</si>
  <si>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</si>
  <si>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</si>
  <si>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</si>
  <si>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</si>
  <si>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</si>
  <si>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</si>
  <si>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</si>
  <si>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</si>
  <si>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</si>
  <si>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</si>
  <si>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</si>
  <si>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</si>
  <si>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</si>
  <si>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</si>
  <si>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</si>
  <si>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</si>
  <si>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</si>
  <si>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</si>
  <si>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</si>
  <si>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</si>
  <si>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</si>
  <si>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</si>
  <si>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</si>
  <si>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</si>
  <si>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</si>
  <si>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</si>
  <si>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</si>
  <si>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</si>
  <si>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</si>
  <si>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</si>
  <si>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</si>
  <si>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</si>
  <si>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</si>
  <si>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</si>
  <si>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</si>
  <si>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</si>
  <si>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</si>
  <si>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</si>
  <si>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</si>
  <si>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</si>
  <si>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</si>
  <si>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</si>
  <si>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</si>
  <si>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</si>
  <si>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</si>
  <si>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</si>
  <si>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</si>
  <si>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</si>
  <si>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</si>
  <si>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</si>
  <si>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</si>
  <si>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</si>
  <si>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</si>
  <si>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</si>
  <si>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</si>
  <si>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</si>
  <si>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</si>
  <si>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</si>
  <si>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</si>
  <si>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</si>
  <si>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</si>
  <si>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</si>
  <si>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</si>
  <si>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</si>
  <si>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</si>
  <si>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</si>
  <si>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</si>
  <si>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</si>
  <si>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</si>
  <si>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</si>
  <si>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</si>
  <si>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</si>
  <si>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</si>
  <si>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</si>
  <si>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</si>
  <si>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</si>
  <si>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</si>
  <si>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</si>
  <si>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</si>
  <si>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</si>
  <si>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</si>
  <si>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</si>
  <si>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</si>
  <si>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</si>
  <si>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</si>
  <si>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</si>
  <si>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</si>
  <si>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</si>
  <si>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</si>
  <si>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</si>
  <si>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</si>
  <si>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</si>
  <si>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</si>
  <si>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</si>
  <si>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</si>
  <si>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</si>
  <si>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</si>
  <si>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</si>
  <si>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</si>
  <si>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</si>
  <si>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</si>
  <si>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</si>
  <si>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</si>
  <si>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</si>
  <si>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</si>
  <si>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</si>
  <si>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</si>
  <si>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</si>
  <si>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</si>
  <si>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</si>
  <si>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</si>
  <si>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</si>
  <si>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</si>
  <si>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</si>
  <si>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</si>
  <si>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</si>
  <si>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</si>
  <si>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</si>
  <si>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</si>
  <si>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</si>
  <si>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</si>
  <si>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</si>
  <si>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</si>
  <si>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</si>
  <si>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</si>
  <si>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</si>
  <si>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</si>
  <si>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</si>
  <si>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</si>
  <si>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</si>
  <si>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</si>
  <si>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</si>
  <si>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</si>
  <si>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</si>
  <si>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</si>
  <si>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</si>
  <si>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</si>
  <si>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</si>
  <si>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</si>
  <si>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</si>
  <si>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</si>
  <si>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</si>
  <si>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</si>
  <si>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</si>
  <si>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</si>
  <si>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</si>
  <si>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</si>
  <si>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</si>
  <si>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</si>
  <si>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</si>
  <si>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</si>
  <si>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</si>
  <si>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</si>
  <si>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</si>
  <si>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</si>
  <si>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</si>
  <si>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</si>
  <si>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</si>
  <si>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</si>
  <si>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</si>
  <si>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</si>
  <si>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</si>
  <si>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</si>
  <si>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</si>
  <si>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</si>
  <si>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</si>
  <si>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</si>
  <si>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</si>
  <si>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</si>
  <si>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</si>
  <si>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</si>
  <si>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</si>
  <si>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</si>
  <si>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</si>
  <si>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</si>
  <si>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</si>
  <si>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</si>
  <si>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</si>
  <si>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</si>
  <si>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</si>
  <si>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</si>
  <si>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</si>
  <si>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</si>
  <si>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</si>
  <si>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</si>
  <si>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</si>
  <si>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</si>
  <si>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</si>
  <si>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</si>
  <si>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</si>
  <si>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</si>
  <si>
    <t>Late Spring, Summer/Fall</t>
  </si>
  <si>
    <t>Early Spring, Summer/Fall</t>
  </si>
  <si>
    <t>Early Spring, Late Spring, Summer/Fall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</si>
</sst>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2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6" fillId="20" borderId="0" xfId="0" applyFont="1" applyFill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16" fillId="26" borderId="0" xfId="0" applyFont="1" applyFill="1" applyAlignment="1">
      <alignment horizontal="left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42" dataDxfId="141" tableBorderDxfId="140" headerRowCellStyle="Currency" dataCellStyle="Currency">
  <autoFilter ref="A1:J246" xr:uid="{63FB889B-362F-FA4D-9D4D-A49BD91E0CC2}"/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zoomScale="106" workbookViewId="0">
      <selection activeCell="B120" sqref="B120"/>
    </sheetView>
  </sheetViews>
  <sheetFormatPr baseColWidth="10" defaultColWidth="11" defaultRowHeight="16"/>
  <cols>
    <col min="1" max="1" width="37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>
      <c r="A2" t="s">
        <v>22</v>
      </c>
      <c r="B2" t="s">
        <v>23</v>
      </c>
      <c r="C2" t="s">
        <v>24</v>
      </c>
      <c r="D2" s="79">
        <f t="shared" ref="D2:D33" si="0">E2*(1+$T$1)</f>
        <v>3.75</v>
      </c>
      <c r="E2" s="79">
        <f t="shared" ref="E2:E65" si="1">AVERAGE(F2:Q2)</f>
        <v>2.5</v>
      </c>
      <c r="F2" s="79"/>
      <c r="G2" s="79"/>
      <c r="H2" s="79">
        <v>2.5</v>
      </c>
      <c r="I2" s="140"/>
      <c r="J2" s="140"/>
    </row>
    <row r="3" spans="1:20">
      <c r="A3" t="s">
        <v>22</v>
      </c>
      <c r="B3" t="s">
        <v>23</v>
      </c>
      <c r="C3" t="s">
        <v>25</v>
      </c>
      <c r="D3" s="79">
        <f t="shared" si="0"/>
        <v>3.75</v>
      </c>
      <c r="E3" s="79">
        <f t="shared" si="1"/>
        <v>2.5</v>
      </c>
      <c r="F3" s="79"/>
      <c r="G3" s="79"/>
      <c r="H3" s="79">
        <v>2.5</v>
      </c>
      <c r="I3" s="140"/>
      <c r="J3" s="140"/>
    </row>
    <row r="4" spans="1:20">
      <c r="A4" t="s">
        <v>22</v>
      </c>
      <c r="B4" t="s">
        <v>23</v>
      </c>
      <c r="C4" t="s">
        <v>26</v>
      </c>
      <c r="D4" s="79">
        <f t="shared" si="0"/>
        <v>3</v>
      </c>
      <c r="E4" s="79">
        <f t="shared" si="1"/>
        <v>2</v>
      </c>
      <c r="F4" s="79"/>
      <c r="G4" s="79"/>
      <c r="H4" s="79">
        <v>2</v>
      </c>
      <c r="I4" s="140"/>
      <c r="J4" s="140"/>
    </row>
    <row r="5" spans="1:20">
      <c r="A5" t="s">
        <v>895</v>
      </c>
      <c r="B5" t="s">
        <v>23</v>
      </c>
      <c r="C5" t="s">
        <v>38</v>
      </c>
      <c r="D5" s="79">
        <f t="shared" si="0"/>
        <v>2.6850000000000001</v>
      </c>
      <c r="E5" s="79">
        <f t="shared" si="1"/>
        <v>1.79</v>
      </c>
      <c r="F5" s="79"/>
      <c r="G5" s="79">
        <v>1.79</v>
      </c>
      <c r="H5" s="79"/>
      <c r="I5" s="140"/>
      <c r="J5" s="140"/>
    </row>
    <row r="6" spans="1:20">
      <c r="A6" t="s">
        <v>145</v>
      </c>
      <c r="B6" t="s">
        <v>23</v>
      </c>
      <c r="C6" t="s">
        <v>49</v>
      </c>
      <c r="D6" s="79">
        <f t="shared" si="0"/>
        <v>3.9000000000000004</v>
      </c>
      <c r="E6" s="79">
        <f t="shared" si="1"/>
        <v>2.6</v>
      </c>
      <c r="F6" s="79"/>
      <c r="G6" s="79">
        <v>2.6</v>
      </c>
      <c r="H6" s="79"/>
      <c r="I6" s="140"/>
      <c r="J6" s="140"/>
    </row>
    <row r="7" spans="1:20">
      <c r="A7" t="s">
        <v>145</v>
      </c>
      <c r="B7" t="s">
        <v>23</v>
      </c>
      <c r="C7" t="s">
        <v>50</v>
      </c>
      <c r="D7" s="79">
        <f t="shared" si="0"/>
        <v>2.9849999999999999</v>
      </c>
      <c r="E7" s="79">
        <f t="shared" si="1"/>
        <v>1.99</v>
      </c>
      <c r="F7" s="79"/>
      <c r="G7" s="79">
        <v>1.99</v>
      </c>
      <c r="H7" s="79"/>
      <c r="I7" s="140"/>
      <c r="J7" s="140"/>
    </row>
    <row r="8" spans="1:20">
      <c r="A8" t="s">
        <v>145</v>
      </c>
      <c r="B8" t="s">
        <v>23</v>
      </c>
      <c r="C8" t="s">
        <v>56</v>
      </c>
      <c r="D8" s="79">
        <f t="shared" si="0"/>
        <v>2.4749999999999996</v>
      </c>
      <c r="E8" s="79">
        <f t="shared" si="1"/>
        <v>1.65</v>
      </c>
      <c r="F8" s="79"/>
      <c r="G8" s="79"/>
      <c r="H8" s="79">
        <v>1.65</v>
      </c>
      <c r="I8" s="140"/>
      <c r="J8" s="140"/>
    </row>
    <row r="9" spans="1:20">
      <c r="A9" t="s">
        <v>57</v>
      </c>
      <c r="B9" t="s">
        <v>23</v>
      </c>
      <c r="C9" t="s">
        <v>72</v>
      </c>
      <c r="D9" s="79">
        <f t="shared" si="0"/>
        <v>5.9625000000000004</v>
      </c>
      <c r="E9" s="79">
        <f t="shared" si="1"/>
        <v>3.9750000000000001</v>
      </c>
      <c r="F9" s="79">
        <v>4</v>
      </c>
      <c r="G9" s="79">
        <v>3.95</v>
      </c>
      <c r="H9" s="79"/>
      <c r="I9" s="140"/>
      <c r="J9" s="140"/>
    </row>
    <row r="10" spans="1:20">
      <c r="A10" t="s">
        <v>57</v>
      </c>
      <c r="B10" t="s">
        <v>23</v>
      </c>
      <c r="C10" t="s">
        <v>73</v>
      </c>
      <c r="D10" s="79">
        <f t="shared" si="0"/>
        <v>6.7124999999999995</v>
      </c>
      <c r="E10" s="79">
        <f t="shared" si="1"/>
        <v>4.4749999999999996</v>
      </c>
      <c r="F10" s="79">
        <v>4</v>
      </c>
      <c r="G10" s="79">
        <v>4.95</v>
      </c>
      <c r="H10" s="79"/>
      <c r="I10" s="140"/>
      <c r="J10" s="140"/>
    </row>
    <row r="11" spans="1:20">
      <c r="A11" s="156" t="s">
        <v>57</v>
      </c>
      <c r="B11" t="s">
        <v>23</v>
      </c>
      <c r="C11" t="s">
        <v>74</v>
      </c>
      <c r="D11" s="79">
        <f t="shared" si="0"/>
        <v>5.9625000000000004</v>
      </c>
      <c r="E11" s="79">
        <f t="shared" si="1"/>
        <v>3.9750000000000001</v>
      </c>
      <c r="F11" s="79">
        <v>4</v>
      </c>
      <c r="G11" s="79">
        <v>3.95</v>
      </c>
      <c r="H11" s="157"/>
      <c r="I11" s="140"/>
      <c r="J11" s="140"/>
    </row>
    <row r="12" spans="1:20">
      <c r="A12" s="156" t="s">
        <v>57</v>
      </c>
      <c r="B12" t="s">
        <v>23</v>
      </c>
      <c r="C12" t="s">
        <v>75</v>
      </c>
      <c r="D12" s="79">
        <f t="shared" si="0"/>
        <v>4.9499999999999993</v>
      </c>
      <c r="E12" s="79">
        <f t="shared" si="1"/>
        <v>3.3</v>
      </c>
      <c r="F12" s="79">
        <v>3</v>
      </c>
      <c r="G12" s="79">
        <v>3.6</v>
      </c>
      <c r="H12" s="157"/>
      <c r="I12" s="140"/>
      <c r="J12" s="140"/>
    </row>
    <row r="13" spans="1:20">
      <c r="A13" s="156" t="s">
        <v>57</v>
      </c>
      <c r="B13" t="s">
        <v>23</v>
      </c>
      <c r="C13" t="s">
        <v>76</v>
      </c>
      <c r="D13" s="79">
        <f t="shared" si="0"/>
        <v>4.9875000000000007</v>
      </c>
      <c r="E13" s="79">
        <f t="shared" si="1"/>
        <v>3.3250000000000002</v>
      </c>
      <c r="F13" s="79">
        <v>3</v>
      </c>
      <c r="G13" s="79">
        <v>3.65</v>
      </c>
      <c r="H13" s="157"/>
      <c r="I13" s="140"/>
      <c r="J13" s="140"/>
      <c r="K13" s="84"/>
    </row>
    <row r="14" spans="1:20">
      <c r="A14" s="156" t="s">
        <v>22</v>
      </c>
      <c r="B14" t="s">
        <v>27</v>
      </c>
      <c r="C14" t="s">
        <v>28</v>
      </c>
      <c r="D14" s="79">
        <f t="shared" si="0"/>
        <v>2.8499999999999996</v>
      </c>
      <c r="E14" s="79">
        <f t="shared" si="1"/>
        <v>1.9</v>
      </c>
      <c r="F14" s="79"/>
      <c r="G14" s="79">
        <v>1.9</v>
      </c>
      <c r="H14" s="157"/>
      <c r="I14" s="140"/>
      <c r="J14" s="140"/>
    </row>
    <row r="15" spans="1:20">
      <c r="A15" s="156" t="s">
        <v>22</v>
      </c>
      <c r="B15" t="s">
        <v>27</v>
      </c>
      <c r="C15" t="s">
        <v>29</v>
      </c>
      <c r="D15" s="79">
        <f t="shared" si="0"/>
        <v>1.875</v>
      </c>
      <c r="E15" s="79">
        <f t="shared" si="1"/>
        <v>1.25</v>
      </c>
      <c r="F15" s="79"/>
      <c r="G15" s="79"/>
      <c r="H15" s="157">
        <v>1.25</v>
      </c>
      <c r="I15" s="140"/>
      <c r="J15" s="140"/>
    </row>
    <row r="16" spans="1:20">
      <c r="A16" s="156" t="s">
        <v>22</v>
      </c>
      <c r="B16" t="s">
        <v>27</v>
      </c>
      <c r="C16" t="s">
        <v>30</v>
      </c>
      <c r="D16" s="79">
        <f t="shared" si="0"/>
        <v>1.5</v>
      </c>
      <c r="E16" s="79">
        <f t="shared" si="1"/>
        <v>1</v>
      </c>
      <c r="F16" s="79">
        <v>1.1000000000000001</v>
      </c>
      <c r="G16" s="79">
        <v>0.9</v>
      </c>
      <c r="H16" s="157"/>
      <c r="I16" s="140"/>
      <c r="J16" s="140"/>
    </row>
    <row r="17" spans="1:10">
      <c r="A17" s="156" t="s">
        <v>31</v>
      </c>
      <c r="B17" t="s">
        <v>27</v>
      </c>
      <c r="C17" t="s">
        <v>32</v>
      </c>
      <c r="D17" s="79">
        <f t="shared" si="0"/>
        <v>2.25</v>
      </c>
      <c r="E17" s="79">
        <f t="shared" si="1"/>
        <v>1.5</v>
      </c>
      <c r="F17" s="79"/>
      <c r="G17" s="79"/>
      <c r="H17" s="157">
        <f>15/10</f>
        <v>1.5</v>
      </c>
      <c r="I17" s="140"/>
      <c r="J17" s="140"/>
    </row>
    <row r="18" spans="1:10">
      <c r="A18" s="156" t="s">
        <v>31</v>
      </c>
      <c r="B18" t="s">
        <v>27</v>
      </c>
      <c r="C18" t="s">
        <v>33</v>
      </c>
      <c r="D18" s="79">
        <f t="shared" si="0"/>
        <v>3.0749999999999997</v>
      </c>
      <c r="E18" s="79">
        <f t="shared" si="1"/>
        <v>2.0499999999999998</v>
      </c>
      <c r="F18" s="79"/>
      <c r="G18" s="79">
        <v>2.0499999999999998</v>
      </c>
      <c r="H18" s="157"/>
      <c r="I18" s="140"/>
      <c r="J18" s="140"/>
    </row>
    <row r="19" spans="1:10">
      <c r="A19" s="156" t="s">
        <v>57</v>
      </c>
      <c r="B19" t="s">
        <v>27</v>
      </c>
      <c r="C19" t="s">
        <v>59</v>
      </c>
      <c r="D19" s="79">
        <f t="shared" si="0"/>
        <v>1.875</v>
      </c>
      <c r="E19" s="79">
        <f t="shared" si="1"/>
        <v>1.25</v>
      </c>
      <c r="F19" s="79">
        <v>1.1000000000000001</v>
      </c>
      <c r="G19" s="79">
        <v>1.4</v>
      </c>
      <c r="H19" s="157"/>
      <c r="I19" s="140"/>
      <c r="J19" s="140"/>
    </row>
    <row r="20" spans="1:10">
      <c r="A20" s="156" t="s">
        <v>57</v>
      </c>
      <c r="B20" t="s">
        <v>27</v>
      </c>
      <c r="C20" t="s">
        <v>60</v>
      </c>
      <c r="D20" s="79">
        <f t="shared" si="0"/>
        <v>1.6875</v>
      </c>
      <c r="E20" s="79">
        <f t="shared" si="1"/>
        <v>1.125</v>
      </c>
      <c r="F20" s="79">
        <v>0.75</v>
      </c>
      <c r="G20" s="79">
        <v>1.5</v>
      </c>
      <c r="H20" s="157"/>
      <c r="I20" s="140"/>
      <c r="J20" s="140"/>
    </row>
    <row r="21" spans="1:10">
      <c r="A21" s="156" t="s">
        <v>57</v>
      </c>
      <c r="B21" t="s">
        <v>27</v>
      </c>
      <c r="C21" t="s">
        <v>69</v>
      </c>
      <c r="D21" s="79">
        <f t="shared" si="0"/>
        <v>1.9500000000000002</v>
      </c>
      <c r="E21" s="79">
        <f t="shared" si="1"/>
        <v>1.3</v>
      </c>
      <c r="F21" s="79"/>
      <c r="G21" s="79">
        <v>1.3</v>
      </c>
      <c r="H21" s="157"/>
      <c r="I21" s="140"/>
      <c r="J21" s="140"/>
    </row>
    <row r="22" spans="1:10">
      <c r="A22" s="156" t="s">
        <v>895</v>
      </c>
      <c r="B22" t="s">
        <v>27</v>
      </c>
      <c r="C22" t="s">
        <v>38</v>
      </c>
      <c r="D22" s="79">
        <f t="shared" si="0"/>
        <v>2.6850000000000001</v>
      </c>
      <c r="E22" s="79">
        <f t="shared" si="1"/>
        <v>1.79</v>
      </c>
      <c r="F22" s="79"/>
      <c r="G22" s="79">
        <v>1.79</v>
      </c>
      <c r="H22" s="157"/>
      <c r="I22" s="140"/>
      <c r="J22" s="140"/>
    </row>
    <row r="23" spans="1:10">
      <c r="A23" s="156" t="s">
        <v>895</v>
      </c>
      <c r="B23" t="s">
        <v>27</v>
      </c>
      <c r="C23" t="s">
        <v>79</v>
      </c>
      <c r="D23" s="79">
        <f t="shared" si="0"/>
        <v>1.7999999999999998</v>
      </c>
      <c r="E23" s="79">
        <f t="shared" si="1"/>
        <v>1.2</v>
      </c>
      <c r="F23" s="79">
        <v>1.4</v>
      </c>
      <c r="G23" s="79"/>
      <c r="H23" s="157">
        <v>1</v>
      </c>
      <c r="I23" s="140"/>
      <c r="J23" s="140"/>
    </row>
    <row r="24" spans="1:10">
      <c r="A24" s="156" t="s">
        <v>895</v>
      </c>
      <c r="B24" t="s">
        <v>27</v>
      </c>
      <c r="C24" t="s">
        <v>80</v>
      </c>
      <c r="D24" s="79">
        <f t="shared" si="0"/>
        <v>2.0999999999999996</v>
      </c>
      <c r="E24" s="79">
        <f t="shared" si="1"/>
        <v>1.4</v>
      </c>
      <c r="F24" s="79"/>
      <c r="G24" s="79"/>
      <c r="H24" s="157">
        <v>1.4</v>
      </c>
      <c r="I24" s="140"/>
      <c r="J24" s="140"/>
    </row>
    <row r="25" spans="1:10">
      <c r="A25" s="156" t="s">
        <v>895</v>
      </c>
      <c r="B25" t="s">
        <v>27</v>
      </c>
      <c r="C25" t="s">
        <v>82</v>
      </c>
      <c r="D25" s="79">
        <f t="shared" si="0"/>
        <v>1.875</v>
      </c>
      <c r="E25" s="79">
        <f t="shared" si="1"/>
        <v>1.25</v>
      </c>
      <c r="F25" s="79">
        <v>1.3</v>
      </c>
      <c r="G25" s="79">
        <v>1.2</v>
      </c>
      <c r="H25" s="157"/>
      <c r="I25" s="140"/>
      <c r="J25" s="140"/>
    </row>
    <row r="26" spans="1:10">
      <c r="A26" s="156" t="s">
        <v>895</v>
      </c>
      <c r="B26" t="s">
        <v>27</v>
      </c>
      <c r="C26" t="s">
        <v>83</v>
      </c>
      <c r="D26" s="79">
        <f t="shared" si="0"/>
        <v>2.4000000000000004</v>
      </c>
      <c r="E26" s="79">
        <f t="shared" si="1"/>
        <v>1.6</v>
      </c>
      <c r="F26" s="79"/>
      <c r="G26" s="79">
        <v>1.6</v>
      </c>
      <c r="H26" s="157"/>
      <c r="I26" s="140"/>
      <c r="J26" s="140"/>
    </row>
    <row r="27" spans="1:10">
      <c r="A27" s="156" t="s">
        <v>145</v>
      </c>
      <c r="B27" t="s">
        <v>27</v>
      </c>
      <c r="C27" t="s">
        <v>84</v>
      </c>
      <c r="D27" s="79">
        <f t="shared" si="0"/>
        <v>2.35</v>
      </c>
      <c r="E27" s="79">
        <f t="shared" si="1"/>
        <v>1.5666666666666667</v>
      </c>
      <c r="F27" s="79">
        <v>1.4</v>
      </c>
      <c r="G27" s="79">
        <v>1.8</v>
      </c>
      <c r="H27" s="157">
        <v>1.5</v>
      </c>
      <c r="I27" s="140"/>
      <c r="J27" s="140"/>
    </row>
    <row r="28" spans="1:10">
      <c r="A28" s="156" t="s">
        <v>145</v>
      </c>
      <c r="B28" t="s">
        <v>27</v>
      </c>
      <c r="C28" t="s">
        <v>85</v>
      </c>
      <c r="D28" s="79">
        <f t="shared" si="0"/>
        <v>4.5</v>
      </c>
      <c r="E28" s="79">
        <f t="shared" si="1"/>
        <v>3</v>
      </c>
      <c r="F28" s="79">
        <v>3</v>
      </c>
      <c r="G28" s="79"/>
      <c r="H28" s="157"/>
      <c r="I28" s="140"/>
      <c r="J28" s="140"/>
    </row>
    <row r="29" spans="1:10">
      <c r="A29" s="156" t="s">
        <v>145</v>
      </c>
      <c r="B29" t="s">
        <v>27</v>
      </c>
      <c r="C29" t="s">
        <v>86</v>
      </c>
      <c r="D29" s="79">
        <f t="shared" si="0"/>
        <v>3.1500000000000004</v>
      </c>
      <c r="E29" s="79">
        <f t="shared" si="1"/>
        <v>2.1</v>
      </c>
      <c r="F29" s="79"/>
      <c r="G29" s="79"/>
      <c r="H29" s="157">
        <v>2.1</v>
      </c>
      <c r="I29" s="140"/>
      <c r="J29" s="140"/>
    </row>
    <row r="30" spans="1:10">
      <c r="A30" s="156" t="s">
        <v>145</v>
      </c>
      <c r="B30" t="s">
        <v>27</v>
      </c>
      <c r="C30" t="s">
        <v>87</v>
      </c>
      <c r="D30" s="79">
        <f t="shared" si="0"/>
        <v>1.5</v>
      </c>
      <c r="E30" s="79">
        <f t="shared" si="1"/>
        <v>1</v>
      </c>
      <c r="F30" s="79"/>
      <c r="G30" s="79"/>
      <c r="H30" s="157">
        <v>1</v>
      </c>
      <c r="I30" s="140"/>
      <c r="J30" s="140"/>
    </row>
    <row r="31" spans="1:10">
      <c r="A31" s="156" t="s">
        <v>145</v>
      </c>
      <c r="B31" t="s">
        <v>27</v>
      </c>
      <c r="C31" t="s">
        <v>88</v>
      </c>
      <c r="D31" s="79">
        <f t="shared" si="0"/>
        <v>3.4874999999999998</v>
      </c>
      <c r="E31" s="79">
        <f t="shared" si="1"/>
        <v>2.3249999999999997</v>
      </c>
      <c r="F31" s="79">
        <f>17.25/10</f>
        <v>1.7250000000000001</v>
      </c>
      <c r="G31" s="79">
        <v>2.75</v>
      </c>
      <c r="H31" s="157">
        <v>2.5</v>
      </c>
      <c r="I31" s="140"/>
      <c r="J31" s="140"/>
    </row>
    <row r="32" spans="1:10">
      <c r="A32" s="156" t="s">
        <v>145</v>
      </c>
      <c r="B32" t="s">
        <v>27</v>
      </c>
      <c r="C32" t="s">
        <v>89</v>
      </c>
      <c r="D32" s="79">
        <f t="shared" si="0"/>
        <v>2.25</v>
      </c>
      <c r="E32" s="79">
        <f t="shared" si="1"/>
        <v>1.5</v>
      </c>
      <c r="F32" s="79"/>
      <c r="G32" s="79"/>
      <c r="H32" s="157">
        <v>1.5</v>
      </c>
      <c r="I32" s="140"/>
      <c r="J32" s="140"/>
    </row>
    <row r="33" spans="1:10">
      <c r="A33" s="156" t="s">
        <v>145</v>
      </c>
      <c r="B33" t="s">
        <v>27</v>
      </c>
      <c r="C33" t="s">
        <v>89</v>
      </c>
      <c r="D33" s="79">
        <f t="shared" si="0"/>
        <v>1.6500000000000001</v>
      </c>
      <c r="E33" s="79">
        <f t="shared" si="1"/>
        <v>1.1000000000000001</v>
      </c>
      <c r="F33" s="140"/>
      <c r="G33" s="140"/>
      <c r="H33" s="157">
        <v>1.1000000000000001</v>
      </c>
      <c r="I33" s="140"/>
      <c r="J33" s="140"/>
    </row>
    <row r="34" spans="1:10">
      <c r="A34" s="156" t="s">
        <v>145</v>
      </c>
      <c r="B34" t="s">
        <v>27</v>
      </c>
      <c r="C34" t="s">
        <v>90</v>
      </c>
      <c r="D34" s="79">
        <f t="shared" ref="D34:D65" si="2">E34*(1+$T$1)</f>
        <v>2.0999999999999996</v>
      </c>
      <c r="E34" s="79">
        <f t="shared" si="1"/>
        <v>1.4</v>
      </c>
      <c r="F34" s="79">
        <v>1.4</v>
      </c>
      <c r="G34" s="79"/>
      <c r="H34" s="157"/>
      <c r="I34" s="140"/>
      <c r="J34" s="140"/>
    </row>
    <row r="35" spans="1:10">
      <c r="A35" s="156" t="s">
        <v>145</v>
      </c>
      <c r="B35" t="s">
        <v>27</v>
      </c>
      <c r="C35" t="s">
        <v>91</v>
      </c>
      <c r="D35" s="79">
        <f t="shared" si="2"/>
        <v>1.5</v>
      </c>
      <c r="E35" s="79">
        <f t="shared" si="1"/>
        <v>1</v>
      </c>
      <c r="F35" s="79"/>
      <c r="G35" s="79">
        <v>1</v>
      </c>
      <c r="H35" s="157"/>
      <c r="I35" s="140"/>
      <c r="J35" s="140"/>
    </row>
    <row r="36" spans="1:10">
      <c r="A36" s="156" t="s">
        <v>145</v>
      </c>
      <c r="B36" t="s">
        <v>27</v>
      </c>
      <c r="C36" s="66" t="s">
        <v>92</v>
      </c>
      <c r="D36" s="79">
        <f t="shared" si="2"/>
        <v>1.6500000000000001</v>
      </c>
      <c r="E36" s="79">
        <f t="shared" si="1"/>
        <v>1.1000000000000001</v>
      </c>
      <c r="F36" s="140"/>
      <c r="G36" s="140"/>
      <c r="H36" s="157">
        <v>1.1000000000000001</v>
      </c>
      <c r="I36" s="140"/>
      <c r="J36" s="140"/>
    </row>
    <row r="37" spans="1:10">
      <c r="A37" s="156" t="s">
        <v>145</v>
      </c>
      <c r="B37" t="s">
        <v>27</v>
      </c>
      <c r="C37" t="s">
        <v>93</v>
      </c>
      <c r="D37" s="79">
        <f t="shared" si="2"/>
        <v>1.6500000000000001</v>
      </c>
      <c r="E37" s="79">
        <f t="shared" si="1"/>
        <v>1.1000000000000001</v>
      </c>
      <c r="F37" s="79">
        <v>1.2</v>
      </c>
      <c r="G37" s="79"/>
      <c r="H37" s="157">
        <v>1</v>
      </c>
      <c r="I37" s="140"/>
      <c r="J37" s="140"/>
    </row>
    <row r="38" spans="1:10">
      <c r="A38" s="156" t="s">
        <v>895</v>
      </c>
      <c r="B38" t="s">
        <v>27</v>
      </c>
      <c r="C38" t="s">
        <v>94</v>
      </c>
      <c r="D38" s="79">
        <f t="shared" si="2"/>
        <v>1.875</v>
      </c>
      <c r="E38" s="79">
        <f t="shared" si="1"/>
        <v>1.25</v>
      </c>
      <c r="F38" s="79">
        <v>1.3</v>
      </c>
      <c r="G38" s="79">
        <v>1.2</v>
      </c>
      <c r="H38" s="157"/>
      <c r="I38" s="140"/>
      <c r="J38" s="140"/>
    </row>
    <row r="39" spans="1:10">
      <c r="A39" s="156" t="s">
        <v>895</v>
      </c>
      <c r="B39" t="s">
        <v>27</v>
      </c>
      <c r="C39" t="s">
        <v>95</v>
      </c>
      <c r="D39" s="79">
        <f t="shared" si="2"/>
        <v>2.25</v>
      </c>
      <c r="E39" s="79">
        <f t="shared" si="1"/>
        <v>1.5</v>
      </c>
      <c r="F39" s="140"/>
      <c r="G39" s="140"/>
      <c r="H39" s="157">
        <v>1.5</v>
      </c>
      <c r="I39" s="140"/>
      <c r="J39" s="140"/>
    </row>
    <row r="40" spans="1:10">
      <c r="A40" s="156" t="s">
        <v>22</v>
      </c>
      <c r="B40" t="s">
        <v>34</v>
      </c>
      <c r="C40" t="s">
        <v>35</v>
      </c>
      <c r="D40" s="79">
        <f t="shared" si="2"/>
        <v>1.875</v>
      </c>
      <c r="E40" s="79">
        <f t="shared" si="1"/>
        <v>1.25</v>
      </c>
      <c r="F40" s="79"/>
      <c r="G40" s="79"/>
      <c r="H40" s="157">
        <v>1.25</v>
      </c>
      <c r="I40" s="140"/>
      <c r="J40" s="140"/>
    </row>
    <row r="41" spans="1:10">
      <c r="A41" s="156" t="s">
        <v>22</v>
      </c>
      <c r="B41" t="s">
        <v>34</v>
      </c>
      <c r="C41" t="s">
        <v>36</v>
      </c>
      <c r="D41" s="79">
        <f t="shared" si="2"/>
        <v>3</v>
      </c>
      <c r="E41" s="79">
        <f t="shared" si="1"/>
        <v>2</v>
      </c>
      <c r="F41" s="79"/>
      <c r="G41" s="79"/>
      <c r="H41" s="157">
        <v>2</v>
      </c>
      <c r="I41" s="140"/>
      <c r="J41" s="140"/>
    </row>
    <row r="42" spans="1:10">
      <c r="A42" s="156" t="s">
        <v>22</v>
      </c>
      <c r="B42" t="s">
        <v>34</v>
      </c>
      <c r="C42" t="s">
        <v>37</v>
      </c>
      <c r="D42" s="79">
        <f t="shared" si="2"/>
        <v>1.875</v>
      </c>
      <c r="E42" s="79">
        <f t="shared" si="1"/>
        <v>1.25</v>
      </c>
      <c r="F42" s="140"/>
      <c r="G42" s="140"/>
      <c r="H42" s="157">
        <v>1.25</v>
      </c>
      <c r="I42" s="140"/>
      <c r="J42" s="140"/>
    </row>
    <row r="43" spans="1:10">
      <c r="A43" s="156" t="s">
        <v>31</v>
      </c>
      <c r="B43" t="s">
        <v>34</v>
      </c>
      <c r="C43" t="s">
        <v>39</v>
      </c>
      <c r="D43" s="79">
        <f t="shared" si="2"/>
        <v>1.875</v>
      </c>
      <c r="E43" s="79">
        <f t="shared" si="1"/>
        <v>1.25</v>
      </c>
      <c r="F43" s="140"/>
      <c r="G43" s="140"/>
      <c r="H43" s="157">
        <v>1.25</v>
      </c>
      <c r="I43" s="140"/>
      <c r="J43" s="140"/>
    </row>
    <row r="44" spans="1:10">
      <c r="A44" s="156" t="s">
        <v>31</v>
      </c>
      <c r="B44" t="s">
        <v>34</v>
      </c>
      <c r="C44" t="s">
        <v>40</v>
      </c>
      <c r="D44" s="79">
        <f t="shared" si="2"/>
        <v>2.25</v>
      </c>
      <c r="E44" s="79">
        <f t="shared" si="1"/>
        <v>1.5</v>
      </c>
      <c r="F44" s="79"/>
      <c r="G44" s="79"/>
      <c r="H44" s="157">
        <v>1.5</v>
      </c>
      <c r="I44" s="140"/>
      <c r="J44" s="140"/>
    </row>
    <row r="45" spans="1:10">
      <c r="A45" s="156" t="s">
        <v>31</v>
      </c>
      <c r="B45" t="s">
        <v>34</v>
      </c>
      <c r="C45" t="s">
        <v>41</v>
      </c>
      <c r="D45" s="79">
        <f t="shared" si="2"/>
        <v>2.3250000000000002</v>
      </c>
      <c r="E45" s="79">
        <f t="shared" si="1"/>
        <v>1.55</v>
      </c>
      <c r="F45" s="79">
        <v>1.4</v>
      </c>
      <c r="G45" s="79">
        <v>1.5</v>
      </c>
      <c r="H45" s="157">
        <v>1.75</v>
      </c>
      <c r="I45" s="140"/>
      <c r="J45" s="140"/>
    </row>
    <row r="46" spans="1:10">
      <c r="A46" s="156" t="s">
        <v>57</v>
      </c>
      <c r="B46" t="s">
        <v>34</v>
      </c>
      <c r="C46" t="s">
        <v>63</v>
      </c>
      <c r="D46" s="79">
        <f t="shared" si="2"/>
        <v>1.5</v>
      </c>
      <c r="E46" s="79">
        <f t="shared" si="1"/>
        <v>1</v>
      </c>
      <c r="F46" s="79"/>
      <c r="G46" s="79">
        <v>1</v>
      </c>
      <c r="H46" s="157"/>
      <c r="I46" s="140"/>
      <c r="J46" s="140"/>
    </row>
    <row r="47" spans="1:10">
      <c r="A47" s="156" t="s">
        <v>57</v>
      </c>
      <c r="B47" t="s">
        <v>34</v>
      </c>
      <c r="C47" t="s">
        <v>68</v>
      </c>
      <c r="D47" s="79">
        <f t="shared" si="2"/>
        <v>2.25</v>
      </c>
      <c r="E47" s="79">
        <f t="shared" si="1"/>
        <v>1.5</v>
      </c>
      <c r="F47" s="140"/>
      <c r="G47" s="140"/>
      <c r="H47" s="157">
        <v>1.5</v>
      </c>
      <c r="I47" s="140"/>
      <c r="J47" s="140"/>
    </row>
    <row r="48" spans="1:10">
      <c r="A48" s="156" t="s">
        <v>57</v>
      </c>
      <c r="B48" t="s">
        <v>34</v>
      </c>
      <c r="C48" t="s">
        <v>71</v>
      </c>
      <c r="D48" s="79">
        <f t="shared" si="2"/>
        <v>1.9500000000000002</v>
      </c>
      <c r="E48" s="79">
        <f t="shared" si="1"/>
        <v>1.3</v>
      </c>
      <c r="F48" s="79">
        <v>1.3</v>
      </c>
      <c r="G48" s="79"/>
      <c r="H48" s="157"/>
      <c r="I48" s="140"/>
      <c r="J48" s="140"/>
    </row>
    <row r="49" spans="1:10">
      <c r="A49" s="156" t="s">
        <v>57</v>
      </c>
      <c r="B49" t="s">
        <v>34</v>
      </c>
      <c r="C49" t="s">
        <v>40</v>
      </c>
      <c r="D49" s="79">
        <f t="shared" si="2"/>
        <v>3</v>
      </c>
      <c r="E49" s="79">
        <f t="shared" si="1"/>
        <v>2</v>
      </c>
      <c r="F49" s="79">
        <v>2</v>
      </c>
      <c r="G49" s="79"/>
      <c r="H49" s="157"/>
      <c r="I49" s="140"/>
      <c r="J49" s="140"/>
    </row>
    <row r="50" spans="1:10">
      <c r="A50" s="156" t="s">
        <v>896</v>
      </c>
      <c r="B50" t="s">
        <v>34</v>
      </c>
      <c r="C50" s="66" t="s">
        <v>96</v>
      </c>
      <c r="D50" s="79">
        <f t="shared" si="2"/>
        <v>2.25</v>
      </c>
      <c r="E50" s="79">
        <f t="shared" si="1"/>
        <v>1.5</v>
      </c>
      <c r="F50" s="140"/>
      <c r="G50" s="140"/>
      <c r="H50" s="157">
        <v>1.5</v>
      </c>
      <c r="I50" s="140"/>
      <c r="J50" s="140"/>
    </row>
    <row r="51" spans="1:10">
      <c r="A51" s="156" t="s">
        <v>895</v>
      </c>
      <c r="B51" t="s">
        <v>34</v>
      </c>
      <c r="C51" t="s">
        <v>97</v>
      </c>
      <c r="D51" s="79">
        <f t="shared" si="2"/>
        <v>1.7999999999999998</v>
      </c>
      <c r="E51" s="79">
        <f t="shared" si="1"/>
        <v>1.2</v>
      </c>
      <c r="F51" s="79"/>
      <c r="G51" s="79"/>
      <c r="H51" s="157">
        <v>1.2</v>
      </c>
      <c r="I51" s="140"/>
      <c r="J51" s="140"/>
    </row>
    <row r="52" spans="1:10">
      <c r="A52" s="156" t="s">
        <v>895</v>
      </c>
      <c r="B52" t="s">
        <v>34</v>
      </c>
      <c r="C52" t="s">
        <v>98</v>
      </c>
      <c r="D52" s="79">
        <f t="shared" si="2"/>
        <v>1.6500000000000001</v>
      </c>
      <c r="E52" s="79">
        <f t="shared" si="1"/>
        <v>1.1000000000000001</v>
      </c>
      <c r="F52" s="79"/>
      <c r="G52" s="79">
        <v>1.1000000000000001</v>
      </c>
      <c r="H52" s="157"/>
      <c r="I52" s="140"/>
      <c r="J52" s="140"/>
    </row>
    <row r="53" spans="1:10">
      <c r="A53" s="156" t="s">
        <v>895</v>
      </c>
      <c r="B53" t="s">
        <v>34</v>
      </c>
      <c r="C53" t="s">
        <v>99</v>
      </c>
      <c r="D53" s="79">
        <f t="shared" si="2"/>
        <v>1.7249999999999999</v>
      </c>
      <c r="E53" s="79">
        <f t="shared" si="1"/>
        <v>1.1499999999999999</v>
      </c>
      <c r="F53" s="79">
        <v>1.3</v>
      </c>
      <c r="G53" s="79">
        <v>1</v>
      </c>
      <c r="H53" s="157"/>
      <c r="I53" s="140"/>
      <c r="J53" s="140"/>
    </row>
    <row r="54" spans="1:10">
      <c r="A54" s="156" t="s">
        <v>145</v>
      </c>
      <c r="B54" t="s">
        <v>34</v>
      </c>
      <c r="C54" t="s">
        <v>100</v>
      </c>
      <c r="D54" s="79">
        <f t="shared" si="2"/>
        <v>2.5</v>
      </c>
      <c r="E54" s="79">
        <f t="shared" si="1"/>
        <v>1.6666666666666667</v>
      </c>
      <c r="F54" s="79">
        <v>1.4</v>
      </c>
      <c r="G54" s="79">
        <v>1.8</v>
      </c>
      <c r="H54" s="157">
        <v>1.8</v>
      </c>
      <c r="I54" s="140"/>
      <c r="J54" s="140"/>
    </row>
    <row r="55" spans="1:10">
      <c r="A55" s="156" t="s">
        <v>145</v>
      </c>
      <c r="B55" t="s">
        <v>34</v>
      </c>
      <c r="C55" t="s">
        <v>101</v>
      </c>
      <c r="D55" s="79">
        <f t="shared" si="2"/>
        <v>1.7999999999999998</v>
      </c>
      <c r="E55" s="79">
        <f t="shared" si="1"/>
        <v>1.2</v>
      </c>
      <c r="F55" s="79"/>
      <c r="G55" s="79"/>
      <c r="H55" s="157">
        <v>1.2</v>
      </c>
      <c r="I55" s="140"/>
      <c r="J55" s="140"/>
    </row>
    <row r="56" spans="1:10">
      <c r="A56" s="156" t="s">
        <v>145</v>
      </c>
      <c r="B56" t="s">
        <v>34</v>
      </c>
      <c r="C56" t="s">
        <v>102</v>
      </c>
      <c r="D56" s="79">
        <f t="shared" si="2"/>
        <v>3.9950000000000001</v>
      </c>
      <c r="E56" s="79">
        <f t="shared" si="1"/>
        <v>2.6633333333333336</v>
      </c>
      <c r="F56" s="79">
        <v>2.5</v>
      </c>
      <c r="G56" s="79">
        <v>2.99</v>
      </c>
      <c r="H56" s="157">
        <v>2.5</v>
      </c>
      <c r="I56" s="140"/>
      <c r="J56" s="140"/>
    </row>
    <row r="57" spans="1:10">
      <c r="A57" s="156" t="s">
        <v>145</v>
      </c>
      <c r="B57" t="s">
        <v>34</v>
      </c>
      <c r="C57" s="66" t="s">
        <v>103</v>
      </c>
      <c r="D57" s="79">
        <f t="shared" si="2"/>
        <v>1.6500000000000001</v>
      </c>
      <c r="E57" s="79">
        <f t="shared" si="1"/>
        <v>1.1000000000000001</v>
      </c>
      <c r="F57" s="140"/>
      <c r="G57" s="140"/>
      <c r="H57" s="157">
        <v>1.1000000000000001</v>
      </c>
      <c r="I57" s="140"/>
      <c r="J57" s="140"/>
    </row>
    <row r="58" spans="1:10">
      <c r="A58" s="156" t="s">
        <v>145</v>
      </c>
      <c r="B58" t="s">
        <v>34</v>
      </c>
      <c r="C58" t="s">
        <v>104</v>
      </c>
      <c r="D58" s="79">
        <f t="shared" si="2"/>
        <v>2.25</v>
      </c>
      <c r="E58" s="79">
        <f t="shared" si="1"/>
        <v>1.5</v>
      </c>
      <c r="F58" s="79"/>
      <c r="G58" s="79"/>
      <c r="H58" s="157">
        <v>1.5</v>
      </c>
      <c r="I58" s="140"/>
      <c r="J58" s="140"/>
    </row>
    <row r="59" spans="1:10">
      <c r="A59" s="156" t="s">
        <v>895</v>
      </c>
      <c r="B59" t="s">
        <v>34</v>
      </c>
      <c r="C59" t="s">
        <v>82</v>
      </c>
      <c r="D59" s="79">
        <f t="shared" si="2"/>
        <v>1.875</v>
      </c>
      <c r="E59" s="79">
        <f t="shared" si="1"/>
        <v>1.25</v>
      </c>
      <c r="F59" s="79">
        <v>1.3</v>
      </c>
      <c r="G59" s="79">
        <v>1.2</v>
      </c>
      <c r="H59" s="157"/>
      <c r="I59" s="140"/>
      <c r="J59" s="140"/>
    </row>
    <row r="60" spans="1:10">
      <c r="A60" s="156" t="s">
        <v>895</v>
      </c>
      <c r="B60" t="s">
        <v>34</v>
      </c>
      <c r="C60" t="s">
        <v>94</v>
      </c>
      <c r="D60" s="79">
        <f t="shared" si="2"/>
        <v>1.875</v>
      </c>
      <c r="E60" s="79">
        <f t="shared" si="1"/>
        <v>1.25</v>
      </c>
      <c r="F60" s="79">
        <v>1.3</v>
      </c>
      <c r="G60" s="79">
        <v>1.2</v>
      </c>
      <c r="H60" s="157"/>
      <c r="I60" s="140"/>
      <c r="J60" s="140"/>
    </row>
    <row r="61" spans="1:10">
      <c r="A61" s="156" t="s">
        <v>145</v>
      </c>
      <c r="B61" t="s">
        <v>34</v>
      </c>
      <c r="C61" t="s">
        <v>105</v>
      </c>
      <c r="D61" s="79">
        <f t="shared" si="2"/>
        <v>1.875</v>
      </c>
      <c r="E61" s="79">
        <f t="shared" si="1"/>
        <v>1.25</v>
      </c>
      <c r="F61" s="79"/>
      <c r="G61" s="79"/>
      <c r="H61" s="157">
        <v>1.25</v>
      </c>
      <c r="I61" s="140"/>
      <c r="J61" s="140"/>
    </row>
    <row r="62" spans="1:10">
      <c r="A62" s="156" t="s">
        <v>57</v>
      </c>
      <c r="B62" t="s">
        <v>34</v>
      </c>
      <c r="C62" t="s">
        <v>70</v>
      </c>
      <c r="D62" s="79">
        <f t="shared" si="2"/>
        <v>3</v>
      </c>
      <c r="E62" s="79">
        <f t="shared" si="1"/>
        <v>2</v>
      </c>
      <c r="F62" s="79"/>
      <c r="G62" s="79"/>
      <c r="H62" s="157">
        <v>2</v>
      </c>
      <c r="I62" s="140"/>
      <c r="J62" s="140"/>
    </row>
    <row r="63" spans="1:10">
      <c r="A63" s="156" t="s">
        <v>31</v>
      </c>
      <c r="B63" t="s">
        <v>42</v>
      </c>
      <c r="C63" t="s">
        <v>43</v>
      </c>
      <c r="D63" s="79">
        <f t="shared" ref="D63:D94" si="3">E63*(1+$T$1)</f>
        <v>1.5</v>
      </c>
      <c r="E63" s="79">
        <f t="shared" si="1"/>
        <v>1</v>
      </c>
      <c r="F63" s="79"/>
      <c r="G63" s="79"/>
      <c r="H63" s="157">
        <v>1</v>
      </c>
      <c r="I63" s="140"/>
      <c r="J63" s="140"/>
    </row>
    <row r="64" spans="1:10">
      <c r="A64" s="156" t="s">
        <v>31</v>
      </c>
      <c r="B64" t="s">
        <v>42</v>
      </c>
      <c r="C64" t="s">
        <v>44</v>
      </c>
      <c r="D64" s="79">
        <f t="shared" si="3"/>
        <v>1.7249999999999999</v>
      </c>
      <c r="E64" s="79">
        <f t="shared" si="1"/>
        <v>1.1499999999999999</v>
      </c>
      <c r="F64" s="79">
        <v>1.1000000000000001</v>
      </c>
      <c r="G64" s="79">
        <v>1.2</v>
      </c>
      <c r="H64" s="157"/>
      <c r="I64" s="140"/>
      <c r="J64" s="140"/>
    </row>
    <row r="65" spans="1:10">
      <c r="A65" s="156" t="s">
        <v>31</v>
      </c>
      <c r="B65" t="s">
        <v>42</v>
      </c>
      <c r="C65" t="s">
        <v>45</v>
      </c>
      <c r="D65" s="79">
        <f t="shared" si="3"/>
        <v>1.875</v>
      </c>
      <c r="E65" s="79">
        <f t="shared" si="1"/>
        <v>1.25</v>
      </c>
      <c r="F65" s="79"/>
      <c r="G65" s="79"/>
      <c r="H65" s="157">
        <v>1.25</v>
      </c>
      <c r="I65" s="140"/>
      <c r="J65" s="140"/>
    </row>
    <row r="66" spans="1:10">
      <c r="A66" s="156" t="s">
        <v>31</v>
      </c>
      <c r="B66" t="s">
        <v>42</v>
      </c>
      <c r="C66" t="s">
        <v>46</v>
      </c>
      <c r="D66" s="79">
        <f t="shared" si="3"/>
        <v>2.7</v>
      </c>
      <c r="E66" s="79">
        <f t="shared" ref="E66:E129" si="4">AVERAGE(F66:Q66)</f>
        <v>1.8</v>
      </c>
      <c r="F66" s="79"/>
      <c r="G66" s="79">
        <v>1.8</v>
      </c>
      <c r="H66" s="157"/>
      <c r="I66" s="140"/>
      <c r="J66" s="140"/>
    </row>
    <row r="67" spans="1:10">
      <c r="A67" s="156" t="s">
        <v>31</v>
      </c>
      <c r="B67" t="s">
        <v>42</v>
      </c>
      <c r="C67" t="s">
        <v>47</v>
      </c>
      <c r="D67" s="79">
        <f t="shared" si="3"/>
        <v>3</v>
      </c>
      <c r="E67" s="140">
        <f t="shared" si="4"/>
        <v>2</v>
      </c>
      <c r="F67" s="140"/>
      <c r="G67" s="140"/>
      <c r="H67" s="157">
        <v>2</v>
      </c>
      <c r="I67" s="140"/>
      <c r="J67" s="140"/>
    </row>
    <row r="68" spans="1:10">
      <c r="A68" s="156" t="s">
        <v>57</v>
      </c>
      <c r="B68" t="s">
        <v>42</v>
      </c>
      <c r="C68" t="s">
        <v>67</v>
      </c>
      <c r="D68" s="79">
        <f t="shared" si="3"/>
        <v>1.6949999999999998</v>
      </c>
      <c r="E68" s="79">
        <f t="shared" si="4"/>
        <v>1.1299999999999999</v>
      </c>
      <c r="F68" s="79">
        <v>1.1299999999999999</v>
      </c>
      <c r="G68" s="79"/>
      <c r="H68" s="157"/>
      <c r="I68" s="140"/>
      <c r="J68" s="140"/>
    </row>
    <row r="69" spans="1:10">
      <c r="A69" s="156" t="s">
        <v>895</v>
      </c>
      <c r="B69" t="s">
        <v>42</v>
      </c>
      <c r="C69" t="s">
        <v>106</v>
      </c>
      <c r="D69" s="79">
        <f t="shared" si="3"/>
        <v>1.7999999999999998</v>
      </c>
      <c r="E69" s="79">
        <f t="shared" si="4"/>
        <v>1.2</v>
      </c>
      <c r="F69" s="79">
        <v>1.2</v>
      </c>
      <c r="G69" s="79"/>
      <c r="H69" s="157"/>
      <c r="I69" s="140"/>
      <c r="J69" s="140"/>
    </row>
    <row r="70" spans="1:10">
      <c r="A70" s="156" t="s">
        <v>895</v>
      </c>
      <c r="B70" t="s">
        <v>42</v>
      </c>
      <c r="C70" t="s">
        <v>107</v>
      </c>
      <c r="D70" s="79">
        <f t="shared" si="3"/>
        <v>2.1749999999999998</v>
      </c>
      <c r="E70" s="79">
        <f t="shared" si="4"/>
        <v>1.45</v>
      </c>
      <c r="F70" s="79">
        <v>1.4</v>
      </c>
      <c r="G70" s="79">
        <v>1.5</v>
      </c>
      <c r="H70" s="157"/>
      <c r="I70" s="140"/>
      <c r="J70" s="140"/>
    </row>
    <row r="71" spans="1:10">
      <c r="A71" s="156" t="s">
        <v>145</v>
      </c>
      <c r="B71" t="s">
        <v>42</v>
      </c>
      <c r="C71" t="s">
        <v>108</v>
      </c>
      <c r="D71" s="79">
        <f t="shared" si="3"/>
        <v>1.9500000000000002</v>
      </c>
      <c r="E71" s="79">
        <f t="shared" si="4"/>
        <v>1.3</v>
      </c>
      <c r="F71" s="79">
        <v>1.3</v>
      </c>
      <c r="G71" s="79"/>
      <c r="H71" s="157"/>
      <c r="I71" s="140"/>
      <c r="J71" s="140"/>
    </row>
    <row r="72" spans="1:10">
      <c r="A72" s="156" t="s">
        <v>145</v>
      </c>
      <c r="B72" t="s">
        <v>42</v>
      </c>
      <c r="C72" t="s">
        <v>109</v>
      </c>
      <c r="D72" s="79">
        <f t="shared" si="3"/>
        <v>2.4000000000000004</v>
      </c>
      <c r="E72" s="79">
        <f t="shared" si="4"/>
        <v>1.6</v>
      </c>
      <c r="F72" s="79">
        <v>1.6</v>
      </c>
      <c r="G72" s="79"/>
      <c r="H72" s="157"/>
      <c r="I72" s="140"/>
      <c r="J72" s="140"/>
    </row>
    <row r="73" spans="1:10">
      <c r="A73" s="156" t="s">
        <v>145</v>
      </c>
      <c r="B73" t="s">
        <v>42</v>
      </c>
      <c r="C73" t="s">
        <v>110</v>
      </c>
      <c r="D73" s="79">
        <f t="shared" si="3"/>
        <v>1.9500000000000002</v>
      </c>
      <c r="E73" s="79">
        <f t="shared" si="4"/>
        <v>1.3</v>
      </c>
      <c r="F73" s="79">
        <v>1.3</v>
      </c>
      <c r="G73" s="79"/>
      <c r="H73" s="157"/>
      <c r="I73" s="140"/>
      <c r="J73" s="140"/>
    </row>
    <row r="74" spans="1:10">
      <c r="A74" s="156" t="s">
        <v>145</v>
      </c>
      <c r="B74" t="s">
        <v>42</v>
      </c>
      <c r="C74" t="s">
        <v>111</v>
      </c>
      <c r="D74" s="79">
        <f t="shared" si="3"/>
        <v>1.5750000000000002</v>
      </c>
      <c r="E74" s="79">
        <f t="shared" si="4"/>
        <v>1.05</v>
      </c>
      <c r="F74" s="79">
        <v>1.3</v>
      </c>
      <c r="G74" s="79">
        <v>0.8</v>
      </c>
      <c r="H74" s="157"/>
      <c r="I74" s="140"/>
      <c r="J74" s="140"/>
    </row>
    <row r="75" spans="1:10">
      <c r="A75" s="156" t="s">
        <v>145</v>
      </c>
      <c r="B75" t="s">
        <v>42</v>
      </c>
      <c r="C75" s="66" t="s">
        <v>103</v>
      </c>
      <c r="D75" s="79">
        <f t="shared" si="3"/>
        <v>1.6500000000000001</v>
      </c>
      <c r="E75" s="79">
        <f t="shared" si="4"/>
        <v>1.1000000000000001</v>
      </c>
      <c r="F75" s="140"/>
      <c r="G75" s="140"/>
      <c r="H75" s="157">
        <v>1.1000000000000001</v>
      </c>
      <c r="I75" s="140"/>
      <c r="J75" s="140"/>
    </row>
    <row r="76" spans="1:10">
      <c r="A76" s="156" t="s">
        <v>145</v>
      </c>
      <c r="B76" t="s">
        <v>42</v>
      </c>
      <c r="C76" t="s">
        <v>112</v>
      </c>
      <c r="D76" s="79">
        <f t="shared" si="3"/>
        <v>1.6500000000000001</v>
      </c>
      <c r="E76" s="79">
        <f t="shared" si="4"/>
        <v>1.1000000000000001</v>
      </c>
      <c r="F76" s="79">
        <v>1.1000000000000001</v>
      </c>
      <c r="G76" s="79">
        <v>1.1000000000000001</v>
      </c>
      <c r="H76" s="157"/>
      <c r="I76" s="140"/>
      <c r="J76" s="140"/>
    </row>
    <row r="77" spans="1:10">
      <c r="A77" s="156" t="s">
        <v>145</v>
      </c>
      <c r="B77" t="s">
        <v>42</v>
      </c>
      <c r="C77" s="66" t="s">
        <v>92</v>
      </c>
      <c r="D77" s="79">
        <f t="shared" si="3"/>
        <v>1.6500000000000001</v>
      </c>
      <c r="E77" s="79">
        <f t="shared" si="4"/>
        <v>1.1000000000000001</v>
      </c>
      <c r="F77" s="140"/>
      <c r="G77" s="140"/>
      <c r="H77" s="157">
        <v>1.1000000000000001</v>
      </c>
      <c r="I77" s="140"/>
      <c r="J77" s="140"/>
    </row>
    <row r="78" spans="1:10">
      <c r="A78" s="156" t="s">
        <v>145</v>
      </c>
      <c r="B78" t="s">
        <v>42</v>
      </c>
      <c r="C78" t="s">
        <v>113</v>
      </c>
      <c r="D78" s="79">
        <f t="shared" si="3"/>
        <v>1.125</v>
      </c>
      <c r="E78" s="79">
        <f t="shared" si="4"/>
        <v>0.75</v>
      </c>
      <c r="F78" s="79"/>
      <c r="G78" s="79"/>
      <c r="H78" s="157">
        <v>0.75</v>
      </c>
      <c r="I78" s="140"/>
      <c r="J78" s="140"/>
    </row>
    <row r="79" spans="1:10">
      <c r="A79" s="156" t="s">
        <v>145</v>
      </c>
      <c r="B79" t="s">
        <v>42</v>
      </c>
      <c r="C79" t="s">
        <v>114</v>
      </c>
      <c r="D79" s="79">
        <f t="shared" si="3"/>
        <v>1.875</v>
      </c>
      <c r="E79" s="79">
        <f t="shared" si="4"/>
        <v>1.25</v>
      </c>
      <c r="F79" s="79"/>
      <c r="G79" s="79"/>
      <c r="H79" s="157">
        <v>1.25</v>
      </c>
      <c r="I79" s="140"/>
      <c r="J79" s="140"/>
    </row>
    <row r="80" spans="1:10">
      <c r="A80" s="156" t="s">
        <v>895</v>
      </c>
      <c r="B80" t="s">
        <v>42</v>
      </c>
      <c r="C80" t="s">
        <v>115</v>
      </c>
      <c r="D80" s="79">
        <f t="shared" si="3"/>
        <v>1.75</v>
      </c>
      <c r="E80" s="79">
        <f t="shared" si="4"/>
        <v>1.1666666666666667</v>
      </c>
      <c r="F80" s="79">
        <v>1.3</v>
      </c>
      <c r="G80" s="79">
        <v>1.2</v>
      </c>
      <c r="H80" s="157">
        <v>1</v>
      </c>
      <c r="I80" s="140"/>
      <c r="J80" s="140"/>
    </row>
    <row r="81" spans="1:10">
      <c r="A81" s="156" t="s">
        <v>895</v>
      </c>
      <c r="B81" t="s">
        <v>42</v>
      </c>
      <c r="C81" t="s">
        <v>116</v>
      </c>
      <c r="D81" s="79">
        <f t="shared" si="3"/>
        <v>1.75</v>
      </c>
      <c r="E81" s="79">
        <f t="shared" si="4"/>
        <v>1.1666666666666667</v>
      </c>
      <c r="F81" s="79">
        <v>1.3</v>
      </c>
      <c r="G81" s="79">
        <v>1.2</v>
      </c>
      <c r="H81" s="157">
        <v>1</v>
      </c>
      <c r="I81" s="140"/>
      <c r="J81" s="140"/>
    </row>
    <row r="82" spans="1:10">
      <c r="A82" s="156" t="s">
        <v>22</v>
      </c>
      <c r="B82" t="s">
        <v>51</v>
      </c>
      <c r="C82" t="s">
        <v>52</v>
      </c>
      <c r="D82" s="79">
        <f t="shared" si="3"/>
        <v>3.75</v>
      </c>
      <c r="E82" s="79">
        <f t="shared" si="4"/>
        <v>2.5</v>
      </c>
      <c r="F82" s="140"/>
      <c r="G82" s="140"/>
      <c r="H82" s="157">
        <v>2.5</v>
      </c>
      <c r="I82" s="140"/>
      <c r="J82" s="140"/>
    </row>
    <row r="83" spans="1:10">
      <c r="A83" s="156" t="s">
        <v>57</v>
      </c>
      <c r="B83" t="s">
        <v>51</v>
      </c>
      <c r="C83" t="s">
        <v>58</v>
      </c>
      <c r="D83" s="79">
        <f t="shared" si="3"/>
        <v>2.625</v>
      </c>
      <c r="E83" s="79">
        <f t="shared" si="4"/>
        <v>1.75</v>
      </c>
      <c r="F83" s="79"/>
      <c r="G83" s="79"/>
      <c r="H83" s="157">
        <v>1.75</v>
      </c>
      <c r="I83" s="140"/>
      <c r="J83" s="140"/>
    </row>
    <row r="84" spans="1:10">
      <c r="A84" s="156" t="s">
        <v>57</v>
      </c>
      <c r="B84" t="s">
        <v>51</v>
      </c>
      <c r="C84" t="s">
        <v>61</v>
      </c>
      <c r="D84" s="79">
        <f t="shared" si="3"/>
        <v>1.6500000000000001</v>
      </c>
      <c r="E84" s="79">
        <f t="shared" si="4"/>
        <v>1.1000000000000001</v>
      </c>
      <c r="F84" s="79"/>
      <c r="G84" s="79">
        <v>1.1000000000000001</v>
      </c>
      <c r="H84" s="157"/>
      <c r="I84" s="140"/>
      <c r="J84" s="140"/>
    </row>
    <row r="85" spans="1:10">
      <c r="A85" s="94" t="s">
        <v>57</v>
      </c>
      <c r="B85" t="s">
        <v>51</v>
      </c>
      <c r="C85" t="s">
        <v>62</v>
      </c>
      <c r="D85" s="79">
        <f t="shared" si="3"/>
        <v>1.125</v>
      </c>
      <c r="E85" s="79">
        <f t="shared" si="4"/>
        <v>0.75</v>
      </c>
      <c r="F85" s="79">
        <v>0.75</v>
      </c>
      <c r="G85" s="79"/>
      <c r="H85" s="105"/>
      <c r="I85" s="140"/>
      <c r="J85" s="140"/>
    </row>
    <row r="86" spans="1:10">
      <c r="A86" s="96" t="s">
        <v>57</v>
      </c>
      <c r="B86" s="97" t="s">
        <v>51</v>
      </c>
      <c r="C86" s="97" t="s">
        <v>64</v>
      </c>
      <c r="D86" s="79">
        <f t="shared" si="3"/>
        <v>2.2125000000000004</v>
      </c>
      <c r="E86" s="79">
        <f t="shared" si="4"/>
        <v>1.4750000000000001</v>
      </c>
      <c r="F86" s="98">
        <v>1.25</v>
      </c>
      <c r="G86" s="98">
        <v>1.7</v>
      </c>
      <c r="H86" s="201"/>
      <c r="I86" s="140"/>
      <c r="J86" s="140"/>
    </row>
    <row r="87" spans="1:10">
      <c r="A87" t="s">
        <v>57</v>
      </c>
      <c r="B87" t="s">
        <v>51</v>
      </c>
      <c r="C87" t="s">
        <v>65</v>
      </c>
      <c r="D87" s="79">
        <f t="shared" si="3"/>
        <v>1.8000000000000003</v>
      </c>
      <c r="E87" s="79">
        <f t="shared" si="4"/>
        <v>1.2000000000000002</v>
      </c>
      <c r="F87" s="79">
        <v>1.1000000000000001</v>
      </c>
      <c r="G87" s="79">
        <v>1.3</v>
      </c>
      <c r="H87" s="201"/>
      <c r="I87" s="140"/>
      <c r="J87" s="140"/>
    </row>
    <row r="88" spans="1:10">
      <c r="A88" t="s">
        <v>57</v>
      </c>
      <c r="B88" t="s">
        <v>51</v>
      </c>
      <c r="C88" t="s">
        <v>70</v>
      </c>
      <c r="D88" s="79">
        <f t="shared" si="3"/>
        <v>3</v>
      </c>
      <c r="E88" s="79">
        <f t="shared" si="4"/>
        <v>2</v>
      </c>
      <c r="F88" s="79"/>
      <c r="G88" s="79"/>
      <c r="H88" s="201">
        <v>2</v>
      </c>
      <c r="I88" s="140"/>
      <c r="J88" s="140"/>
    </row>
    <row r="89" spans="1:10">
      <c r="A89" t="s">
        <v>57</v>
      </c>
      <c r="B89" t="s">
        <v>51</v>
      </c>
      <c r="C89" t="s">
        <v>77</v>
      </c>
      <c r="D89" s="79">
        <f t="shared" si="3"/>
        <v>1.5750000000000002</v>
      </c>
      <c r="E89" s="79">
        <f t="shared" si="4"/>
        <v>1.05</v>
      </c>
      <c r="F89" s="79">
        <v>1.1000000000000001</v>
      </c>
      <c r="G89" s="79">
        <v>1</v>
      </c>
      <c r="H89" s="79"/>
      <c r="I89" s="140"/>
      <c r="J89" s="140"/>
    </row>
    <row r="90" spans="1:10">
      <c r="A90" t="s">
        <v>897</v>
      </c>
      <c r="B90" t="s">
        <v>51</v>
      </c>
      <c r="C90" t="s">
        <v>118</v>
      </c>
      <c r="D90" s="79">
        <f t="shared" si="3"/>
        <v>1.875</v>
      </c>
      <c r="E90" s="79">
        <f t="shared" si="4"/>
        <v>1.25</v>
      </c>
      <c r="F90" s="79">
        <v>1.25</v>
      </c>
      <c r="G90" s="79"/>
      <c r="H90" s="79"/>
      <c r="I90" s="140"/>
      <c r="J90" s="140"/>
    </row>
    <row r="91" spans="1:10">
      <c r="A91" s="156" t="s">
        <v>897</v>
      </c>
      <c r="B91" t="s">
        <v>51</v>
      </c>
      <c r="C91" t="s">
        <v>120</v>
      </c>
      <c r="D91" s="79">
        <f t="shared" si="3"/>
        <v>1.6124999999999998</v>
      </c>
      <c r="E91" s="79">
        <f t="shared" si="4"/>
        <v>1.075</v>
      </c>
      <c r="F91" s="79">
        <v>1.25</v>
      </c>
      <c r="G91" s="79">
        <v>0.9</v>
      </c>
      <c r="H91" s="157"/>
      <c r="I91" s="140"/>
      <c r="J91" s="140"/>
    </row>
    <row r="92" spans="1:10">
      <c r="A92" t="s">
        <v>895</v>
      </c>
      <c r="B92" t="s">
        <v>51</v>
      </c>
      <c r="C92" t="s">
        <v>121</v>
      </c>
      <c r="D92" s="79">
        <f t="shared" si="3"/>
        <v>2.5875000000000004</v>
      </c>
      <c r="E92" s="79">
        <f t="shared" si="4"/>
        <v>1.7250000000000001</v>
      </c>
      <c r="F92" s="79">
        <v>1.55</v>
      </c>
      <c r="G92" s="79">
        <v>1.9</v>
      </c>
      <c r="H92" s="79"/>
      <c r="I92" s="140"/>
      <c r="J92" s="140"/>
    </row>
    <row r="93" spans="1:10">
      <c r="A93" t="s">
        <v>895</v>
      </c>
      <c r="B93" t="s">
        <v>51</v>
      </c>
      <c r="C93" t="s">
        <v>122</v>
      </c>
      <c r="D93" s="79">
        <f t="shared" si="3"/>
        <v>1.6500000000000001</v>
      </c>
      <c r="E93" s="79">
        <f t="shared" si="4"/>
        <v>1.1000000000000001</v>
      </c>
      <c r="F93" s="140"/>
      <c r="G93" s="140"/>
      <c r="H93" s="79">
        <v>1.1000000000000001</v>
      </c>
      <c r="I93" s="140"/>
      <c r="J93" s="140"/>
    </row>
    <row r="94" spans="1:10">
      <c r="A94" t="s">
        <v>895</v>
      </c>
      <c r="B94" t="s">
        <v>51</v>
      </c>
      <c r="C94" t="s">
        <v>123</v>
      </c>
      <c r="D94" s="79">
        <f t="shared" si="3"/>
        <v>2.5499999999999998</v>
      </c>
      <c r="E94" s="79">
        <f t="shared" si="4"/>
        <v>1.7</v>
      </c>
      <c r="F94" s="79">
        <v>1.4</v>
      </c>
      <c r="G94" s="79">
        <v>2</v>
      </c>
      <c r="H94" s="79"/>
      <c r="I94" s="140"/>
      <c r="J94" s="140"/>
    </row>
    <row r="95" spans="1:10">
      <c r="A95" t="s">
        <v>895</v>
      </c>
      <c r="B95" t="s">
        <v>51</v>
      </c>
      <c r="C95" t="s">
        <v>124</v>
      </c>
      <c r="D95" s="79">
        <f t="shared" ref="D95:D126" si="5">E95*(1+$T$1)</f>
        <v>3.75</v>
      </c>
      <c r="E95" s="79">
        <f t="shared" si="4"/>
        <v>2.5</v>
      </c>
      <c r="F95" s="79"/>
      <c r="G95" s="79"/>
      <c r="H95" s="79">
        <v>2.5</v>
      </c>
      <c r="I95" s="140"/>
      <c r="J95" s="140"/>
    </row>
    <row r="96" spans="1:10">
      <c r="A96" t="s">
        <v>895</v>
      </c>
      <c r="B96" t="s">
        <v>51</v>
      </c>
      <c r="C96" t="s">
        <v>125</v>
      </c>
      <c r="D96" s="79">
        <f t="shared" si="5"/>
        <v>3.5999999999999996</v>
      </c>
      <c r="E96" s="79">
        <f t="shared" si="4"/>
        <v>2.4</v>
      </c>
      <c r="F96" s="79"/>
      <c r="G96" s="79">
        <v>2.4</v>
      </c>
      <c r="H96" s="79"/>
      <c r="I96" s="140"/>
      <c r="J96" s="140"/>
    </row>
    <row r="97" spans="1:10">
      <c r="A97" t="s">
        <v>145</v>
      </c>
      <c r="B97" t="s">
        <v>51</v>
      </c>
      <c r="C97" t="s">
        <v>127</v>
      </c>
      <c r="D97" s="79">
        <f t="shared" si="5"/>
        <v>2.25</v>
      </c>
      <c r="E97" s="79">
        <f t="shared" si="4"/>
        <v>1.5</v>
      </c>
      <c r="F97" s="140"/>
      <c r="G97" s="140"/>
      <c r="H97" s="79">
        <v>1.5</v>
      </c>
      <c r="I97" s="140"/>
      <c r="J97" s="140"/>
    </row>
    <row r="98" spans="1:10">
      <c r="A98" t="s">
        <v>145</v>
      </c>
      <c r="B98" t="s">
        <v>51</v>
      </c>
      <c r="C98" t="s">
        <v>128</v>
      </c>
      <c r="D98" s="79">
        <f t="shared" si="5"/>
        <v>2.2574999999999998</v>
      </c>
      <c r="E98" s="79">
        <f t="shared" si="4"/>
        <v>1.5049999999999999</v>
      </c>
      <c r="F98" s="79">
        <v>1.3</v>
      </c>
      <c r="G98" s="79">
        <v>1.71</v>
      </c>
      <c r="H98" s="79"/>
      <c r="I98" s="140"/>
      <c r="J98" s="140"/>
    </row>
    <row r="99" spans="1:10">
      <c r="A99" t="s">
        <v>145</v>
      </c>
      <c r="B99" t="s">
        <v>51</v>
      </c>
      <c r="C99" t="s">
        <v>129</v>
      </c>
      <c r="D99" s="79">
        <f t="shared" si="5"/>
        <v>1.6500000000000001</v>
      </c>
      <c r="E99" s="79">
        <f t="shared" si="4"/>
        <v>1.1000000000000001</v>
      </c>
      <c r="F99" s="140"/>
      <c r="G99" s="140"/>
      <c r="H99" s="79">
        <v>1.1000000000000001</v>
      </c>
      <c r="I99" s="140"/>
      <c r="J99" s="140"/>
    </row>
    <row r="100" spans="1:10">
      <c r="A100" t="s">
        <v>145</v>
      </c>
      <c r="B100" t="s">
        <v>51</v>
      </c>
      <c r="C100" t="s">
        <v>130</v>
      </c>
      <c r="D100" s="79">
        <f t="shared" si="5"/>
        <v>1.7999999999999998</v>
      </c>
      <c r="E100" s="79">
        <f t="shared" si="4"/>
        <v>1.2</v>
      </c>
      <c r="F100" s="79">
        <v>1.2</v>
      </c>
      <c r="G100" s="79"/>
      <c r="H100" s="79"/>
      <c r="I100" s="140"/>
      <c r="J100" s="140"/>
    </row>
    <row r="101" spans="1:10">
      <c r="A101" t="s">
        <v>145</v>
      </c>
      <c r="B101" t="s">
        <v>51</v>
      </c>
      <c r="C101" t="s">
        <v>131</v>
      </c>
      <c r="D101" s="79">
        <f t="shared" si="5"/>
        <v>1.875</v>
      </c>
      <c r="E101" s="79">
        <f t="shared" si="4"/>
        <v>1.25</v>
      </c>
      <c r="F101" s="140"/>
      <c r="G101" s="140"/>
      <c r="H101" s="79">
        <v>1.25</v>
      </c>
      <c r="I101" s="140"/>
      <c r="J101" s="140"/>
    </row>
    <row r="102" spans="1:10">
      <c r="A102" t="s">
        <v>145</v>
      </c>
      <c r="B102" t="s">
        <v>51</v>
      </c>
      <c r="C102" t="s">
        <v>132</v>
      </c>
      <c r="D102" s="79">
        <f t="shared" si="5"/>
        <v>1.5</v>
      </c>
      <c r="E102" s="79">
        <f t="shared" si="4"/>
        <v>1</v>
      </c>
      <c r="F102" s="79"/>
      <c r="G102" s="79"/>
      <c r="H102" s="79">
        <v>1</v>
      </c>
      <c r="I102" s="140"/>
      <c r="J102" s="140"/>
    </row>
    <row r="103" spans="1:10">
      <c r="A103" t="s">
        <v>145</v>
      </c>
      <c r="B103" t="s">
        <v>51</v>
      </c>
      <c r="C103" t="s">
        <v>133</v>
      </c>
      <c r="D103" s="79">
        <f t="shared" si="5"/>
        <v>1.6500000000000001</v>
      </c>
      <c r="E103" s="79">
        <f t="shared" si="4"/>
        <v>1.1000000000000001</v>
      </c>
      <c r="F103" s="140"/>
      <c r="G103" s="140"/>
      <c r="H103" s="79">
        <v>1.1000000000000001</v>
      </c>
      <c r="I103" s="140"/>
      <c r="J103" s="140"/>
    </row>
    <row r="104" spans="1:10">
      <c r="A104" t="s">
        <v>22</v>
      </c>
      <c r="B104" t="s">
        <v>53</v>
      </c>
      <c r="C104" t="s">
        <v>54</v>
      </c>
      <c r="D104" s="79">
        <f t="shared" si="5"/>
        <v>1.6500000000000001</v>
      </c>
      <c r="E104" s="79">
        <f t="shared" si="4"/>
        <v>1.1000000000000001</v>
      </c>
      <c r="F104" s="79"/>
      <c r="G104" s="79"/>
      <c r="H104" s="79">
        <v>1.1000000000000001</v>
      </c>
      <c r="I104" s="140"/>
      <c r="J104" s="140"/>
    </row>
    <row r="105" spans="1:10">
      <c r="A105" t="s">
        <v>31</v>
      </c>
      <c r="B105" t="s">
        <v>53</v>
      </c>
      <c r="C105" t="s">
        <v>55</v>
      </c>
      <c r="D105" s="79">
        <f t="shared" si="5"/>
        <v>1.6500000000000001</v>
      </c>
      <c r="E105" s="79">
        <f t="shared" si="4"/>
        <v>1.1000000000000001</v>
      </c>
      <c r="F105" s="79">
        <v>1.1000000000000001</v>
      </c>
      <c r="G105" s="79"/>
      <c r="H105" s="79"/>
      <c r="I105" s="140"/>
      <c r="J105" s="140"/>
    </row>
    <row r="106" spans="1:10">
      <c r="A106" t="s">
        <v>57</v>
      </c>
      <c r="B106" t="s">
        <v>53</v>
      </c>
      <c r="C106" t="s">
        <v>66</v>
      </c>
      <c r="D106" s="79">
        <f t="shared" si="5"/>
        <v>2.25</v>
      </c>
      <c r="E106" s="79">
        <f t="shared" si="4"/>
        <v>1.5</v>
      </c>
      <c r="F106" s="79">
        <v>1.5</v>
      </c>
      <c r="G106" s="79"/>
      <c r="H106" s="79"/>
      <c r="I106" s="140"/>
      <c r="J106" s="140"/>
    </row>
    <row r="107" spans="1:10">
      <c r="A107" t="s">
        <v>897</v>
      </c>
      <c r="B107" t="s">
        <v>53</v>
      </c>
      <c r="C107" t="s">
        <v>134</v>
      </c>
      <c r="D107" s="79">
        <f t="shared" si="5"/>
        <v>1.5</v>
      </c>
      <c r="E107" s="79">
        <f t="shared" si="4"/>
        <v>1</v>
      </c>
      <c r="F107" s="140"/>
      <c r="G107" s="140"/>
      <c r="H107" s="79">
        <v>1</v>
      </c>
      <c r="I107" s="140"/>
      <c r="J107" s="140"/>
    </row>
    <row r="108" spans="1:10">
      <c r="A108" t="s">
        <v>895</v>
      </c>
      <c r="B108" t="s">
        <v>53</v>
      </c>
      <c r="C108" t="s">
        <v>135</v>
      </c>
      <c r="D108" s="79">
        <f t="shared" si="5"/>
        <v>2.8125</v>
      </c>
      <c r="E108" s="79">
        <f t="shared" si="4"/>
        <v>1.875</v>
      </c>
      <c r="F108" s="79">
        <f>22.5/10</f>
        <v>2.25</v>
      </c>
      <c r="G108" s="79"/>
      <c r="H108" s="79">
        <v>1.5</v>
      </c>
      <c r="I108" s="140"/>
      <c r="J108" s="140"/>
    </row>
    <row r="109" spans="1:10">
      <c r="A109" s="156" t="s">
        <v>895</v>
      </c>
      <c r="B109" t="s">
        <v>53</v>
      </c>
      <c r="C109" t="s">
        <v>136</v>
      </c>
      <c r="D109" s="79">
        <f t="shared" si="5"/>
        <v>2.25</v>
      </c>
      <c r="E109" s="79">
        <f t="shared" si="4"/>
        <v>1.5</v>
      </c>
      <c r="F109" s="79">
        <v>1.5</v>
      </c>
      <c r="G109" s="79"/>
      <c r="H109" s="157"/>
      <c r="I109" s="140"/>
      <c r="J109" s="140"/>
    </row>
    <row r="110" spans="1:10">
      <c r="A110" s="156" t="s">
        <v>895</v>
      </c>
      <c r="B110" t="s">
        <v>53</v>
      </c>
      <c r="C110" t="s">
        <v>137</v>
      </c>
      <c r="D110" s="79">
        <f t="shared" si="5"/>
        <v>1.6500000000000001</v>
      </c>
      <c r="E110" s="79">
        <f t="shared" si="4"/>
        <v>1.1000000000000001</v>
      </c>
      <c r="F110" s="79"/>
      <c r="G110" s="79">
        <v>1.1000000000000001</v>
      </c>
      <c r="H110" s="157"/>
      <c r="I110" s="140"/>
      <c r="J110" s="140"/>
    </row>
    <row r="111" spans="1:10">
      <c r="A111" s="156" t="s">
        <v>145</v>
      </c>
      <c r="B111" t="s">
        <v>53</v>
      </c>
      <c r="C111" t="s">
        <v>138</v>
      </c>
      <c r="D111" s="79">
        <f t="shared" si="5"/>
        <v>1.6500000000000001</v>
      </c>
      <c r="E111" s="79">
        <f t="shared" si="4"/>
        <v>1.1000000000000001</v>
      </c>
      <c r="F111" s="140"/>
      <c r="G111" s="140"/>
      <c r="H111" s="157">
        <v>1.1000000000000001</v>
      </c>
      <c r="I111" s="140"/>
      <c r="J111" s="140"/>
    </row>
    <row r="112" spans="1:10">
      <c r="A112" s="156" t="s">
        <v>145</v>
      </c>
      <c r="B112" t="s">
        <v>53</v>
      </c>
      <c r="C112" t="s">
        <v>139</v>
      </c>
      <c r="D112" s="79">
        <f t="shared" si="5"/>
        <v>2.0999999999999996</v>
      </c>
      <c r="E112" s="79">
        <f t="shared" si="4"/>
        <v>1.4</v>
      </c>
      <c r="F112" s="79">
        <f>14/10</f>
        <v>1.4</v>
      </c>
      <c r="G112" s="79"/>
      <c r="H112" s="157"/>
      <c r="I112" s="140"/>
      <c r="J112" s="140"/>
    </row>
    <row r="113" spans="1:10">
      <c r="A113" s="156" t="s">
        <v>897</v>
      </c>
      <c r="B113" t="s">
        <v>53</v>
      </c>
      <c r="C113" t="s">
        <v>140</v>
      </c>
      <c r="D113" s="79">
        <f t="shared" si="5"/>
        <v>1.9500000000000002</v>
      </c>
      <c r="E113" s="79">
        <f t="shared" si="4"/>
        <v>1.3</v>
      </c>
      <c r="F113" s="79">
        <v>1.3</v>
      </c>
      <c r="G113" s="79"/>
      <c r="H113" s="157"/>
      <c r="I113" s="140"/>
      <c r="J113" s="140"/>
    </row>
    <row r="114" spans="1:10">
      <c r="A114" t="s">
        <v>145</v>
      </c>
      <c r="B114" t="s">
        <v>53</v>
      </c>
      <c r="C114" t="s">
        <v>141</v>
      </c>
      <c r="D114" s="79">
        <f t="shared" si="5"/>
        <v>2.0999999999999996</v>
      </c>
      <c r="E114" s="79">
        <f t="shared" si="4"/>
        <v>1.4</v>
      </c>
      <c r="F114" s="79">
        <v>1.5</v>
      </c>
      <c r="G114" s="79">
        <v>1.3</v>
      </c>
      <c r="H114" s="79"/>
      <c r="I114" s="140"/>
      <c r="J114" s="140"/>
    </row>
    <row r="115" spans="1:10">
      <c r="A115" t="s">
        <v>145</v>
      </c>
      <c r="B115" t="s">
        <v>53</v>
      </c>
      <c r="C115" t="s">
        <v>142</v>
      </c>
      <c r="D115" s="79">
        <f t="shared" si="5"/>
        <v>2.625</v>
      </c>
      <c r="E115" s="79">
        <f t="shared" si="4"/>
        <v>1.75</v>
      </c>
      <c r="F115" s="79"/>
      <c r="G115" s="79"/>
      <c r="H115" s="79">
        <v>1.75</v>
      </c>
      <c r="I115" s="140"/>
      <c r="J115" s="140"/>
    </row>
    <row r="116" spans="1:10">
      <c r="A116" t="s">
        <v>145</v>
      </c>
      <c r="B116" t="s">
        <v>53</v>
      </c>
      <c r="C116" t="s">
        <v>143</v>
      </c>
      <c r="D116" s="79">
        <f t="shared" si="5"/>
        <v>2.0999999999999996</v>
      </c>
      <c r="E116" s="79">
        <f t="shared" si="4"/>
        <v>1.4</v>
      </c>
      <c r="F116" s="79"/>
      <c r="G116" s="79"/>
      <c r="H116" s="79">
        <v>1.4</v>
      </c>
      <c r="I116" s="140"/>
      <c r="J116" s="140"/>
    </row>
    <row r="117" spans="1:10">
      <c r="A117" t="s">
        <v>897</v>
      </c>
      <c r="B117" t="s">
        <v>53</v>
      </c>
      <c r="C117" t="s">
        <v>144</v>
      </c>
      <c r="D117" s="79">
        <f t="shared" si="5"/>
        <v>2.25</v>
      </c>
      <c r="E117" s="79">
        <f t="shared" si="4"/>
        <v>1.5</v>
      </c>
      <c r="F117" s="140"/>
      <c r="G117" s="140"/>
      <c r="H117" s="79">
        <v>1.5</v>
      </c>
      <c r="I117" s="140"/>
      <c r="J117" s="140"/>
    </row>
    <row r="118" spans="1:10">
      <c r="D118" s="79" t="e">
        <f t="shared" si="5"/>
        <v>#DIV/0!</v>
      </c>
      <c r="E118" s="79" t="e">
        <f t="shared" si="4"/>
        <v>#DIV/0!</v>
      </c>
      <c r="F118" s="140"/>
      <c r="G118" s="140"/>
      <c r="H118" s="140"/>
      <c r="I118" s="140"/>
      <c r="J118" s="140"/>
    </row>
    <row r="119" spans="1:10">
      <c r="D119" s="79" t="e">
        <f t="shared" si="5"/>
        <v>#DIV/0!</v>
      </c>
      <c r="E119" s="79" t="e">
        <f t="shared" si="4"/>
        <v>#DIV/0!</v>
      </c>
      <c r="F119" s="140"/>
      <c r="G119" s="140"/>
      <c r="H119" s="140"/>
      <c r="I119" s="140"/>
      <c r="J119" s="140"/>
    </row>
    <row r="120" spans="1:10">
      <c r="D120" s="79" t="e">
        <f t="shared" si="5"/>
        <v>#DIV/0!</v>
      </c>
      <c r="E120" s="79" t="e">
        <f t="shared" si="4"/>
        <v>#DIV/0!</v>
      </c>
      <c r="F120" s="140"/>
      <c r="G120" s="140"/>
      <c r="H120" s="140"/>
      <c r="I120" s="140"/>
      <c r="J120" s="140"/>
    </row>
    <row r="121" spans="1:10">
      <c r="D121" s="79" t="e">
        <f t="shared" si="5"/>
        <v>#DIV/0!</v>
      </c>
      <c r="E121" s="79" t="e">
        <f t="shared" si="4"/>
        <v>#DIV/0!</v>
      </c>
      <c r="F121" s="140"/>
      <c r="G121" s="140"/>
      <c r="H121" s="140"/>
      <c r="I121" s="140"/>
      <c r="J121" s="140"/>
    </row>
    <row r="122" spans="1:10">
      <c r="D122" s="79" t="e">
        <f t="shared" si="5"/>
        <v>#DIV/0!</v>
      </c>
      <c r="E122" s="79" t="e">
        <f t="shared" si="4"/>
        <v>#DIV/0!</v>
      </c>
      <c r="F122" s="140"/>
      <c r="G122" s="140"/>
      <c r="H122" s="140"/>
      <c r="I122" s="140"/>
      <c r="J122" s="140"/>
    </row>
    <row r="123" spans="1:10">
      <c r="D123" s="79" t="e">
        <f t="shared" si="5"/>
        <v>#DIV/0!</v>
      </c>
      <c r="E123" s="79" t="e">
        <f t="shared" si="4"/>
        <v>#DIV/0!</v>
      </c>
      <c r="F123" s="140"/>
      <c r="G123" s="140"/>
      <c r="H123" s="140"/>
      <c r="I123" s="140"/>
      <c r="J123" s="140"/>
    </row>
    <row r="124" spans="1:10">
      <c r="D124" s="79" t="e">
        <f t="shared" si="5"/>
        <v>#DIV/0!</v>
      </c>
      <c r="E124" s="79" t="e">
        <f t="shared" si="4"/>
        <v>#DIV/0!</v>
      </c>
      <c r="F124" s="140"/>
      <c r="G124" s="140"/>
      <c r="H124" s="140"/>
      <c r="I124" s="140"/>
      <c r="J124" s="140"/>
    </row>
    <row r="125" spans="1:10">
      <c r="D125" s="79" t="e">
        <f t="shared" si="5"/>
        <v>#DIV/0!</v>
      </c>
      <c r="E125" s="79" t="e">
        <f t="shared" si="4"/>
        <v>#DIV/0!</v>
      </c>
      <c r="F125" s="140"/>
      <c r="G125" s="140"/>
      <c r="H125" s="140"/>
      <c r="I125" s="140"/>
      <c r="J125" s="140"/>
    </row>
    <row r="126" spans="1:10">
      <c r="D126" s="79" t="e">
        <f t="shared" si="5"/>
        <v>#DIV/0!</v>
      </c>
      <c r="E126" s="79" t="e">
        <f t="shared" si="4"/>
        <v>#DIV/0!</v>
      </c>
      <c r="F126" s="140"/>
      <c r="G126" s="140"/>
      <c r="H126" s="140"/>
      <c r="I126" s="140"/>
      <c r="J126" s="140"/>
    </row>
    <row r="127" spans="1:10">
      <c r="D127" s="79" t="e">
        <f t="shared" ref="D127:D158" si="6">E127*(1+$T$1)</f>
        <v>#DIV/0!</v>
      </c>
      <c r="E127" s="79" t="e">
        <f t="shared" si="4"/>
        <v>#DIV/0!</v>
      </c>
      <c r="F127" s="140"/>
      <c r="G127" s="140"/>
      <c r="H127" s="140"/>
      <c r="I127" s="140"/>
      <c r="J127" s="140"/>
    </row>
    <row r="128" spans="1:10">
      <c r="D128" s="79" t="e">
        <f t="shared" si="6"/>
        <v>#DIV/0!</v>
      </c>
      <c r="E128" s="79" t="e">
        <f t="shared" si="4"/>
        <v>#DIV/0!</v>
      </c>
      <c r="F128" s="140"/>
      <c r="G128" s="140"/>
      <c r="H128" s="140"/>
      <c r="I128" s="140"/>
      <c r="J128" s="140"/>
    </row>
    <row r="129" spans="4:10">
      <c r="D129" s="79" t="e">
        <f t="shared" si="6"/>
        <v>#DIV/0!</v>
      </c>
      <c r="E129" s="79" t="e">
        <f t="shared" si="4"/>
        <v>#DIV/0!</v>
      </c>
      <c r="F129" s="140"/>
      <c r="G129" s="140"/>
      <c r="H129" s="140"/>
      <c r="I129" s="140"/>
      <c r="J129" s="140"/>
    </row>
    <row r="130" spans="4:10">
      <c r="D130" s="79" t="e">
        <f t="shared" si="6"/>
        <v>#DIV/0!</v>
      </c>
      <c r="E130" s="79" t="e">
        <f t="shared" ref="E130:E193" si="7">AVERAGE(F130:Q130)</f>
        <v>#DIV/0!</v>
      </c>
      <c r="F130" s="140"/>
      <c r="G130" s="140"/>
      <c r="H130" s="140"/>
      <c r="I130" s="140"/>
      <c r="J130" s="140"/>
    </row>
    <row r="131" spans="4:10">
      <c r="D131" s="79" t="e">
        <f t="shared" si="6"/>
        <v>#DIV/0!</v>
      </c>
      <c r="E131" s="79" t="e">
        <f t="shared" si="7"/>
        <v>#DIV/0!</v>
      </c>
      <c r="F131" s="140"/>
      <c r="G131" s="140"/>
      <c r="H131" s="140"/>
      <c r="I131" s="140"/>
      <c r="J131" s="140"/>
    </row>
    <row r="132" spans="4:10">
      <c r="D132" s="79" t="e">
        <f t="shared" si="6"/>
        <v>#DIV/0!</v>
      </c>
      <c r="E132" s="79" t="e">
        <f t="shared" si="7"/>
        <v>#DIV/0!</v>
      </c>
      <c r="F132" s="140"/>
      <c r="G132" s="140"/>
      <c r="H132" s="140"/>
      <c r="I132" s="140"/>
      <c r="J132" s="140"/>
    </row>
    <row r="133" spans="4:10">
      <c r="D133" s="79" t="e">
        <f t="shared" si="6"/>
        <v>#DIV/0!</v>
      </c>
      <c r="E133" s="79" t="e">
        <f t="shared" si="7"/>
        <v>#DIV/0!</v>
      </c>
      <c r="F133" s="140"/>
      <c r="G133" s="140"/>
      <c r="H133" s="140"/>
      <c r="I133" s="140"/>
      <c r="J133" s="140"/>
    </row>
    <row r="134" spans="4:10">
      <c r="D134" s="79" t="e">
        <f t="shared" si="6"/>
        <v>#DIV/0!</v>
      </c>
      <c r="E134" s="79" t="e">
        <f t="shared" si="7"/>
        <v>#DIV/0!</v>
      </c>
      <c r="F134" s="140"/>
      <c r="G134" s="140"/>
      <c r="H134" s="140"/>
      <c r="I134" s="140"/>
      <c r="J134" s="140"/>
    </row>
    <row r="135" spans="4:10">
      <c r="D135" s="79" t="e">
        <f t="shared" si="6"/>
        <v>#DIV/0!</v>
      </c>
      <c r="E135" s="79" t="e">
        <f t="shared" si="7"/>
        <v>#DIV/0!</v>
      </c>
      <c r="F135" s="140"/>
      <c r="G135" s="140"/>
      <c r="H135" s="140"/>
      <c r="I135" s="140"/>
      <c r="J135" s="140"/>
    </row>
    <row r="136" spans="4:10">
      <c r="D136" s="79" t="e">
        <f t="shared" si="6"/>
        <v>#DIV/0!</v>
      </c>
      <c r="E136" s="79" t="e">
        <f t="shared" si="7"/>
        <v>#DIV/0!</v>
      </c>
      <c r="F136" s="140"/>
      <c r="G136" s="140"/>
      <c r="H136" s="140"/>
      <c r="I136" s="140"/>
      <c r="J136" s="140"/>
    </row>
    <row r="137" spans="4:10">
      <c r="D137" s="79" t="e">
        <f t="shared" si="6"/>
        <v>#DIV/0!</v>
      </c>
      <c r="E137" s="79" t="e">
        <f t="shared" si="7"/>
        <v>#DIV/0!</v>
      </c>
      <c r="F137" s="140"/>
      <c r="G137" s="140"/>
      <c r="H137" s="140"/>
      <c r="I137" s="140"/>
      <c r="J137" s="140"/>
    </row>
    <row r="138" spans="4:10">
      <c r="D138" s="79" t="e">
        <f t="shared" si="6"/>
        <v>#DIV/0!</v>
      </c>
      <c r="E138" s="79" t="e">
        <f t="shared" si="7"/>
        <v>#DIV/0!</v>
      </c>
      <c r="F138" s="140"/>
      <c r="G138" s="140"/>
      <c r="H138" s="140"/>
      <c r="I138" s="140"/>
      <c r="J138" s="140"/>
    </row>
    <row r="139" spans="4:10">
      <c r="D139" s="79" t="e">
        <f t="shared" si="6"/>
        <v>#DIV/0!</v>
      </c>
      <c r="E139" s="79" t="e">
        <f t="shared" si="7"/>
        <v>#DIV/0!</v>
      </c>
      <c r="F139" s="140"/>
      <c r="G139" s="140"/>
      <c r="H139" s="140"/>
      <c r="I139" s="140"/>
      <c r="J139" s="140"/>
    </row>
    <row r="140" spans="4:10">
      <c r="D140" s="79" t="e">
        <f t="shared" si="6"/>
        <v>#DIV/0!</v>
      </c>
      <c r="E140" s="79" t="e">
        <f t="shared" si="7"/>
        <v>#DIV/0!</v>
      </c>
      <c r="F140" s="140"/>
      <c r="G140" s="140"/>
      <c r="H140" s="140"/>
      <c r="I140" s="140"/>
      <c r="J140" s="140"/>
    </row>
    <row r="141" spans="4:10">
      <c r="D141" s="79" t="e">
        <f t="shared" si="6"/>
        <v>#DIV/0!</v>
      </c>
      <c r="E141" s="79" t="e">
        <f t="shared" si="7"/>
        <v>#DIV/0!</v>
      </c>
      <c r="F141" s="140"/>
      <c r="G141" s="140"/>
      <c r="H141" s="140"/>
      <c r="I141" s="140"/>
      <c r="J141" s="140"/>
    </row>
    <row r="142" spans="4:10">
      <c r="D142" s="79" t="e">
        <f t="shared" si="6"/>
        <v>#DIV/0!</v>
      </c>
      <c r="E142" s="79" t="e">
        <f t="shared" si="7"/>
        <v>#DIV/0!</v>
      </c>
      <c r="F142" s="140"/>
      <c r="G142" s="140"/>
      <c r="H142" s="140"/>
      <c r="I142" s="140"/>
      <c r="J142" s="140"/>
    </row>
    <row r="143" spans="4:10">
      <c r="D143" s="79" t="e">
        <f t="shared" si="6"/>
        <v>#DIV/0!</v>
      </c>
      <c r="E143" s="79" t="e">
        <f t="shared" si="7"/>
        <v>#DIV/0!</v>
      </c>
      <c r="F143" s="140"/>
      <c r="G143" s="140"/>
      <c r="H143" s="140"/>
      <c r="I143" s="140"/>
      <c r="J143" s="140"/>
    </row>
    <row r="144" spans="4:10">
      <c r="D144" s="79" t="e">
        <f t="shared" si="6"/>
        <v>#DIV/0!</v>
      </c>
      <c r="E144" s="79" t="e">
        <f t="shared" si="7"/>
        <v>#DIV/0!</v>
      </c>
      <c r="F144" s="140"/>
      <c r="G144" s="140"/>
      <c r="H144" s="140"/>
      <c r="I144" s="140"/>
      <c r="J144" s="140"/>
    </row>
    <row r="145" spans="4:10">
      <c r="D145" s="79" t="e">
        <f t="shared" si="6"/>
        <v>#DIV/0!</v>
      </c>
      <c r="E145" s="79" t="e">
        <f t="shared" si="7"/>
        <v>#DIV/0!</v>
      </c>
      <c r="F145" s="140"/>
      <c r="G145" s="140"/>
      <c r="H145" s="140"/>
      <c r="I145" s="140"/>
      <c r="J145" s="140"/>
    </row>
    <row r="146" spans="4:10">
      <c r="D146" s="79" t="e">
        <f t="shared" si="6"/>
        <v>#DIV/0!</v>
      </c>
      <c r="E146" s="79" t="e">
        <f t="shared" si="7"/>
        <v>#DIV/0!</v>
      </c>
      <c r="F146" s="140"/>
      <c r="G146" s="140"/>
      <c r="H146" s="140"/>
      <c r="I146" s="140"/>
      <c r="J146" s="140"/>
    </row>
    <row r="147" spans="4:10">
      <c r="D147" s="79" t="e">
        <f t="shared" si="6"/>
        <v>#DIV/0!</v>
      </c>
      <c r="E147" s="79" t="e">
        <f t="shared" si="7"/>
        <v>#DIV/0!</v>
      </c>
      <c r="F147" s="140"/>
      <c r="G147" s="140"/>
      <c r="H147" s="140"/>
      <c r="I147" s="140"/>
      <c r="J147" s="140"/>
    </row>
    <row r="148" spans="4:10">
      <c r="D148" s="79" t="e">
        <f t="shared" si="6"/>
        <v>#DIV/0!</v>
      </c>
      <c r="E148" s="79" t="e">
        <f t="shared" si="7"/>
        <v>#DIV/0!</v>
      </c>
      <c r="F148" s="140"/>
      <c r="G148" s="140"/>
      <c r="H148" s="140"/>
      <c r="I148" s="140"/>
      <c r="J148" s="140"/>
    </row>
    <row r="149" spans="4:10">
      <c r="D149" s="79" t="e">
        <f t="shared" si="6"/>
        <v>#DIV/0!</v>
      </c>
      <c r="E149" s="79" t="e">
        <f t="shared" si="7"/>
        <v>#DIV/0!</v>
      </c>
      <c r="F149" s="140"/>
      <c r="G149" s="140"/>
      <c r="H149" s="140"/>
      <c r="I149" s="140"/>
      <c r="J149" s="140"/>
    </row>
    <row r="150" spans="4:10">
      <c r="D150" s="79" t="e">
        <f t="shared" si="6"/>
        <v>#DIV/0!</v>
      </c>
      <c r="E150" s="79" t="e">
        <f t="shared" si="7"/>
        <v>#DIV/0!</v>
      </c>
      <c r="F150" s="140"/>
      <c r="G150" s="140"/>
      <c r="H150" s="140"/>
      <c r="I150" s="140"/>
      <c r="J150" s="140"/>
    </row>
    <row r="151" spans="4:10">
      <c r="D151" s="79" t="e">
        <f t="shared" si="6"/>
        <v>#DIV/0!</v>
      </c>
      <c r="E151" s="79" t="e">
        <f t="shared" si="7"/>
        <v>#DIV/0!</v>
      </c>
      <c r="F151" s="140"/>
      <c r="G151" s="140"/>
      <c r="H151" s="140"/>
      <c r="I151" s="140"/>
      <c r="J151" s="140"/>
    </row>
    <row r="152" spans="4:10">
      <c r="D152" s="79" t="e">
        <f t="shared" si="6"/>
        <v>#DIV/0!</v>
      </c>
      <c r="E152" s="79" t="e">
        <f t="shared" si="7"/>
        <v>#DIV/0!</v>
      </c>
      <c r="F152" s="140"/>
      <c r="G152" s="140"/>
      <c r="H152" s="140"/>
      <c r="I152" s="140"/>
      <c r="J152" s="140"/>
    </row>
    <row r="153" spans="4:10">
      <c r="D153" s="79" t="e">
        <f t="shared" si="6"/>
        <v>#DIV/0!</v>
      </c>
      <c r="E153" s="79" t="e">
        <f t="shared" si="7"/>
        <v>#DIV/0!</v>
      </c>
      <c r="F153" s="140"/>
      <c r="G153" s="140"/>
      <c r="H153" s="140"/>
      <c r="I153" s="140"/>
      <c r="J153" s="140"/>
    </row>
    <row r="154" spans="4:10">
      <c r="D154" s="79" t="e">
        <f t="shared" si="6"/>
        <v>#DIV/0!</v>
      </c>
      <c r="E154" s="79" t="e">
        <f t="shared" si="7"/>
        <v>#DIV/0!</v>
      </c>
      <c r="F154" s="140"/>
      <c r="G154" s="140"/>
      <c r="H154" s="140"/>
      <c r="I154" s="140"/>
      <c r="J154" s="140"/>
    </row>
    <row r="155" spans="4:10">
      <c r="D155" s="79" t="e">
        <f t="shared" si="6"/>
        <v>#DIV/0!</v>
      </c>
      <c r="E155" s="79" t="e">
        <f t="shared" si="7"/>
        <v>#DIV/0!</v>
      </c>
      <c r="F155" s="140"/>
      <c r="G155" s="140"/>
      <c r="H155" s="140"/>
      <c r="I155" s="140"/>
      <c r="J155" s="140"/>
    </row>
    <row r="156" spans="4:10">
      <c r="D156" s="79" t="e">
        <f t="shared" si="6"/>
        <v>#DIV/0!</v>
      </c>
      <c r="E156" s="79" t="e">
        <f t="shared" si="7"/>
        <v>#DIV/0!</v>
      </c>
      <c r="F156" s="140"/>
      <c r="G156" s="140"/>
      <c r="H156" s="140"/>
      <c r="I156" s="140"/>
      <c r="J156" s="140"/>
    </row>
    <row r="157" spans="4:10">
      <c r="D157" s="79" t="e">
        <f t="shared" si="6"/>
        <v>#DIV/0!</v>
      </c>
      <c r="E157" s="79" t="e">
        <f t="shared" si="7"/>
        <v>#DIV/0!</v>
      </c>
      <c r="F157" s="140"/>
      <c r="G157" s="140"/>
      <c r="H157" s="140"/>
      <c r="I157" s="140"/>
      <c r="J157" s="140"/>
    </row>
    <row r="158" spans="4:10">
      <c r="D158" s="79" t="e">
        <f t="shared" si="6"/>
        <v>#DIV/0!</v>
      </c>
      <c r="E158" s="79" t="e">
        <f t="shared" si="7"/>
        <v>#DIV/0!</v>
      </c>
      <c r="F158" s="140"/>
      <c r="G158" s="140"/>
      <c r="H158" s="140"/>
      <c r="I158" s="140"/>
      <c r="J158" s="140"/>
    </row>
    <row r="159" spans="4:10">
      <c r="D159" s="79" t="e">
        <f t="shared" ref="D159:D190" si="8">E159*(1+$T$1)</f>
        <v>#DIV/0!</v>
      </c>
      <c r="E159" s="79" t="e">
        <f t="shared" si="7"/>
        <v>#DIV/0!</v>
      </c>
      <c r="F159" s="140"/>
      <c r="G159" s="140"/>
      <c r="H159" s="140"/>
      <c r="I159" s="140"/>
      <c r="J159" s="140"/>
    </row>
    <row r="160" spans="4:10">
      <c r="D160" s="79" t="e">
        <f t="shared" si="8"/>
        <v>#DIV/0!</v>
      </c>
      <c r="E160" s="79" t="e">
        <f t="shared" si="7"/>
        <v>#DIV/0!</v>
      </c>
      <c r="F160" s="140"/>
      <c r="G160" s="140"/>
      <c r="H160" s="140"/>
      <c r="I160" s="140"/>
      <c r="J160" s="140"/>
    </row>
    <row r="161" spans="4:10">
      <c r="D161" s="79" t="e">
        <f t="shared" si="8"/>
        <v>#DIV/0!</v>
      </c>
      <c r="E161" s="79" t="e">
        <f t="shared" si="7"/>
        <v>#DIV/0!</v>
      </c>
      <c r="F161" s="140"/>
      <c r="G161" s="140"/>
      <c r="H161" s="140"/>
      <c r="I161" s="140"/>
      <c r="J161" s="140"/>
    </row>
    <row r="162" spans="4:10">
      <c r="D162" s="79" t="e">
        <f t="shared" si="8"/>
        <v>#DIV/0!</v>
      </c>
      <c r="E162" s="79" t="e">
        <f t="shared" si="7"/>
        <v>#DIV/0!</v>
      </c>
      <c r="F162" s="140"/>
      <c r="G162" s="140"/>
      <c r="H162" s="140"/>
      <c r="I162" s="140"/>
      <c r="J162" s="140"/>
    </row>
    <row r="163" spans="4:10">
      <c r="D163" s="79" t="e">
        <f t="shared" si="8"/>
        <v>#DIV/0!</v>
      </c>
      <c r="E163" s="79" t="e">
        <f t="shared" si="7"/>
        <v>#DIV/0!</v>
      </c>
      <c r="F163" s="140"/>
      <c r="G163" s="140"/>
      <c r="H163" s="140"/>
      <c r="I163" s="140"/>
      <c r="J163" s="140"/>
    </row>
    <row r="164" spans="4:10">
      <c r="D164" s="79" t="e">
        <f t="shared" si="8"/>
        <v>#DIV/0!</v>
      </c>
      <c r="E164" s="79" t="e">
        <f t="shared" si="7"/>
        <v>#DIV/0!</v>
      </c>
      <c r="F164" s="140"/>
      <c r="G164" s="140"/>
      <c r="H164" s="140"/>
      <c r="I164" s="140"/>
      <c r="J164" s="140"/>
    </row>
    <row r="165" spans="4:10">
      <c r="D165" s="79" t="e">
        <f t="shared" si="8"/>
        <v>#DIV/0!</v>
      </c>
      <c r="E165" s="79" t="e">
        <f t="shared" si="7"/>
        <v>#DIV/0!</v>
      </c>
      <c r="F165" s="140"/>
      <c r="G165" s="140"/>
      <c r="H165" s="140"/>
      <c r="I165" s="140"/>
      <c r="J165" s="140"/>
    </row>
    <row r="166" spans="4:10">
      <c r="D166" s="79" t="e">
        <f t="shared" si="8"/>
        <v>#DIV/0!</v>
      </c>
      <c r="E166" s="79" t="e">
        <f t="shared" si="7"/>
        <v>#DIV/0!</v>
      </c>
      <c r="F166" s="140"/>
      <c r="G166" s="140"/>
      <c r="H166" s="140"/>
      <c r="I166" s="140"/>
      <c r="J166" s="140"/>
    </row>
    <row r="167" spans="4:10">
      <c r="D167" s="79" t="e">
        <f t="shared" si="8"/>
        <v>#DIV/0!</v>
      </c>
      <c r="E167" s="79" t="e">
        <f t="shared" si="7"/>
        <v>#DIV/0!</v>
      </c>
      <c r="F167" s="140"/>
      <c r="G167" s="140"/>
      <c r="H167" s="140"/>
      <c r="I167" s="140"/>
      <c r="J167" s="140"/>
    </row>
    <row r="168" spans="4:10">
      <c r="D168" s="79" t="e">
        <f t="shared" si="8"/>
        <v>#DIV/0!</v>
      </c>
      <c r="E168" s="79" t="e">
        <f t="shared" si="7"/>
        <v>#DIV/0!</v>
      </c>
      <c r="F168" s="140"/>
      <c r="G168" s="140"/>
      <c r="H168" s="140"/>
      <c r="I168" s="140"/>
      <c r="J168" s="140"/>
    </row>
    <row r="169" spans="4:10">
      <c r="D169" s="79" t="e">
        <f t="shared" si="8"/>
        <v>#DIV/0!</v>
      </c>
      <c r="E169" s="79" t="e">
        <f t="shared" si="7"/>
        <v>#DIV/0!</v>
      </c>
      <c r="F169" s="140"/>
      <c r="G169" s="140"/>
      <c r="H169" s="140"/>
      <c r="I169" s="140"/>
      <c r="J169" s="140"/>
    </row>
    <row r="170" spans="4:10">
      <c r="D170" s="79" t="e">
        <f t="shared" si="8"/>
        <v>#DIV/0!</v>
      </c>
      <c r="E170" s="79" t="e">
        <f t="shared" si="7"/>
        <v>#DIV/0!</v>
      </c>
      <c r="F170" s="140"/>
      <c r="G170" s="140"/>
      <c r="H170" s="140"/>
      <c r="I170" s="140"/>
      <c r="J170" s="140"/>
    </row>
    <row r="171" spans="4:10">
      <c r="D171" s="79" t="e">
        <f t="shared" ref="D171:D202" si="9">E171*(1+$O$1)</f>
        <v>#DIV/0!</v>
      </c>
      <c r="E171" s="79" t="e">
        <f t="shared" si="7"/>
        <v>#DIV/0!</v>
      </c>
      <c r="F171" s="140"/>
      <c r="G171" s="140"/>
      <c r="H171" s="140"/>
      <c r="I171" s="140"/>
      <c r="J171" s="140"/>
    </row>
    <row r="172" spans="4:10">
      <c r="D172" s="79" t="e">
        <f t="shared" si="9"/>
        <v>#DIV/0!</v>
      </c>
      <c r="E172" s="79" t="e">
        <f t="shared" si="7"/>
        <v>#DIV/0!</v>
      </c>
      <c r="F172" s="140"/>
      <c r="G172" s="140"/>
      <c r="H172" s="140"/>
      <c r="I172" s="140"/>
      <c r="J172" s="140"/>
    </row>
    <row r="173" spans="4:10">
      <c r="D173" s="79" t="e">
        <f t="shared" si="9"/>
        <v>#DIV/0!</v>
      </c>
      <c r="E173" s="79" t="e">
        <f t="shared" si="7"/>
        <v>#DIV/0!</v>
      </c>
      <c r="F173" s="140"/>
      <c r="G173" s="140"/>
      <c r="H173" s="140"/>
      <c r="I173" s="140"/>
      <c r="J173" s="140"/>
    </row>
    <row r="174" spans="4:10">
      <c r="D174" s="79" t="e">
        <f t="shared" si="9"/>
        <v>#DIV/0!</v>
      </c>
      <c r="E174" s="79" t="e">
        <f t="shared" si="7"/>
        <v>#DIV/0!</v>
      </c>
      <c r="F174" s="140"/>
      <c r="G174" s="140"/>
      <c r="H174" s="140"/>
      <c r="I174" s="140"/>
      <c r="J174" s="140"/>
    </row>
    <row r="175" spans="4:10">
      <c r="D175" s="79" t="e">
        <f t="shared" si="9"/>
        <v>#DIV/0!</v>
      </c>
      <c r="E175" s="79" t="e">
        <f t="shared" si="7"/>
        <v>#DIV/0!</v>
      </c>
      <c r="F175" s="140"/>
      <c r="G175" s="140"/>
      <c r="H175" s="140"/>
      <c r="I175" s="140"/>
      <c r="J175" s="140"/>
    </row>
    <row r="176" spans="4:10">
      <c r="D176" s="79" t="e">
        <f t="shared" si="9"/>
        <v>#DIV/0!</v>
      </c>
      <c r="E176" s="79" t="e">
        <f t="shared" si="7"/>
        <v>#DIV/0!</v>
      </c>
      <c r="F176" s="140"/>
      <c r="G176" s="140"/>
      <c r="H176" s="140"/>
      <c r="I176" s="140"/>
      <c r="J176" s="140"/>
    </row>
    <row r="177" spans="4:10">
      <c r="D177" s="79" t="e">
        <f t="shared" si="9"/>
        <v>#DIV/0!</v>
      </c>
      <c r="E177" s="79" t="e">
        <f t="shared" si="7"/>
        <v>#DIV/0!</v>
      </c>
      <c r="F177" s="140"/>
      <c r="G177" s="140"/>
      <c r="H177" s="140"/>
      <c r="I177" s="140"/>
      <c r="J177" s="140"/>
    </row>
    <row r="178" spans="4:10">
      <c r="D178" s="79" t="e">
        <f t="shared" si="9"/>
        <v>#DIV/0!</v>
      </c>
      <c r="E178" s="79" t="e">
        <f t="shared" si="7"/>
        <v>#DIV/0!</v>
      </c>
      <c r="F178" s="140"/>
      <c r="G178" s="140"/>
      <c r="H178" s="140"/>
      <c r="I178" s="140"/>
      <c r="J178" s="140"/>
    </row>
    <row r="179" spans="4:10">
      <c r="D179" s="79" t="e">
        <f t="shared" si="9"/>
        <v>#DIV/0!</v>
      </c>
      <c r="E179" s="79" t="e">
        <f t="shared" si="7"/>
        <v>#DIV/0!</v>
      </c>
      <c r="F179" s="140"/>
      <c r="G179" s="140"/>
      <c r="H179" s="140"/>
      <c r="I179" s="140"/>
      <c r="J179" s="140"/>
    </row>
    <row r="180" spans="4:10">
      <c r="D180" s="79" t="e">
        <f t="shared" si="9"/>
        <v>#DIV/0!</v>
      </c>
      <c r="E180" s="79" t="e">
        <f t="shared" si="7"/>
        <v>#DIV/0!</v>
      </c>
      <c r="F180" s="140"/>
      <c r="G180" s="140"/>
      <c r="H180" s="140"/>
      <c r="I180" s="140"/>
      <c r="J180" s="140"/>
    </row>
    <row r="181" spans="4:10">
      <c r="D181" s="79" t="e">
        <f t="shared" si="9"/>
        <v>#DIV/0!</v>
      </c>
      <c r="E181" s="79" t="e">
        <f t="shared" si="7"/>
        <v>#DIV/0!</v>
      </c>
      <c r="F181" s="140"/>
      <c r="G181" s="140"/>
      <c r="H181" s="140"/>
      <c r="I181" s="140"/>
      <c r="J181" s="140"/>
    </row>
    <row r="182" spans="4:10">
      <c r="D182" s="79" t="e">
        <f t="shared" si="9"/>
        <v>#DIV/0!</v>
      </c>
      <c r="E182" s="79" t="e">
        <f t="shared" si="7"/>
        <v>#DIV/0!</v>
      </c>
      <c r="F182" s="140"/>
      <c r="G182" s="140"/>
      <c r="H182" s="140"/>
      <c r="I182" s="140"/>
      <c r="J182" s="140"/>
    </row>
    <row r="183" spans="4:10">
      <c r="D183" s="79" t="e">
        <f t="shared" si="9"/>
        <v>#DIV/0!</v>
      </c>
      <c r="E183" s="79" t="e">
        <f t="shared" si="7"/>
        <v>#DIV/0!</v>
      </c>
      <c r="F183" s="140"/>
      <c r="G183" s="140"/>
      <c r="H183" s="140"/>
      <c r="I183" s="140"/>
      <c r="J183" s="140"/>
    </row>
    <row r="184" spans="4:10">
      <c r="D184" s="79" t="e">
        <f t="shared" si="9"/>
        <v>#DIV/0!</v>
      </c>
      <c r="E184" s="140" t="e">
        <f t="shared" si="7"/>
        <v>#DIV/0!</v>
      </c>
      <c r="F184" s="140"/>
      <c r="G184" s="140"/>
      <c r="H184" s="140"/>
      <c r="I184" s="140"/>
      <c r="J184" s="140"/>
    </row>
    <row r="185" spans="4:10">
      <c r="D185" s="79" t="e">
        <f t="shared" si="9"/>
        <v>#DIV/0!</v>
      </c>
      <c r="E185" s="140" t="e">
        <f t="shared" si="7"/>
        <v>#DIV/0!</v>
      </c>
      <c r="F185" s="140"/>
      <c r="G185" s="140"/>
      <c r="H185" s="140"/>
      <c r="I185" s="140"/>
      <c r="J185" s="140"/>
    </row>
    <row r="186" spans="4:10">
      <c r="D186" s="79" t="e">
        <f t="shared" si="9"/>
        <v>#DIV/0!</v>
      </c>
      <c r="E186" s="140" t="e">
        <f t="shared" si="7"/>
        <v>#DIV/0!</v>
      </c>
      <c r="F186" s="140"/>
      <c r="G186" s="140"/>
      <c r="H186" s="140"/>
      <c r="I186" s="140"/>
      <c r="J186" s="140"/>
    </row>
    <row r="187" spans="4:10">
      <c r="D187" s="79" t="e">
        <f t="shared" si="9"/>
        <v>#DIV/0!</v>
      </c>
      <c r="E187" s="140" t="e">
        <f t="shared" si="7"/>
        <v>#DIV/0!</v>
      </c>
      <c r="F187" s="140"/>
      <c r="G187" s="140"/>
      <c r="H187" s="140"/>
      <c r="I187" s="140"/>
      <c r="J187" s="140"/>
    </row>
    <row r="188" spans="4:10">
      <c r="D188" s="79" t="e">
        <f t="shared" si="9"/>
        <v>#DIV/0!</v>
      </c>
      <c r="E188" s="140" t="e">
        <f t="shared" si="7"/>
        <v>#DIV/0!</v>
      </c>
      <c r="F188" s="140"/>
      <c r="G188" s="140"/>
      <c r="H188" s="140"/>
      <c r="I188" s="140"/>
      <c r="J188" s="140"/>
    </row>
    <row r="189" spans="4:10">
      <c r="D189" s="79" t="e">
        <f t="shared" si="9"/>
        <v>#DIV/0!</v>
      </c>
      <c r="E189" s="140" t="e">
        <f t="shared" si="7"/>
        <v>#DIV/0!</v>
      </c>
      <c r="F189" s="140"/>
      <c r="G189" s="140"/>
      <c r="H189" s="140"/>
      <c r="I189" s="140"/>
      <c r="J189" s="140"/>
    </row>
    <row r="190" spans="4:10">
      <c r="D190" s="79" t="e">
        <f t="shared" si="9"/>
        <v>#DIV/0!</v>
      </c>
      <c r="E190" s="140" t="e">
        <f t="shared" si="7"/>
        <v>#DIV/0!</v>
      </c>
      <c r="F190" s="140"/>
      <c r="G190" s="140"/>
      <c r="H190" s="140"/>
      <c r="I190" s="140"/>
      <c r="J190" s="140"/>
    </row>
    <row r="191" spans="4:10">
      <c r="D191" s="79" t="e">
        <f t="shared" si="9"/>
        <v>#DIV/0!</v>
      </c>
      <c r="E191" s="140" t="e">
        <f t="shared" si="7"/>
        <v>#DIV/0!</v>
      </c>
      <c r="F191" s="140"/>
      <c r="G191" s="140"/>
      <c r="H191" s="140"/>
      <c r="I191" s="140"/>
      <c r="J191" s="140"/>
    </row>
    <row r="192" spans="4:10">
      <c r="D192" s="79" t="e">
        <f t="shared" si="9"/>
        <v>#DIV/0!</v>
      </c>
      <c r="E192" s="140" t="e">
        <f t="shared" si="7"/>
        <v>#DIV/0!</v>
      </c>
      <c r="F192" s="140"/>
      <c r="G192" s="140"/>
      <c r="H192" s="140"/>
      <c r="I192" s="140"/>
      <c r="J192" s="140"/>
    </row>
    <row r="193" spans="4:10">
      <c r="D193" s="79" t="e">
        <f t="shared" si="9"/>
        <v>#DIV/0!</v>
      </c>
      <c r="E193" s="140" t="e">
        <f t="shared" si="7"/>
        <v>#DIV/0!</v>
      </c>
      <c r="F193" s="140"/>
      <c r="G193" s="140"/>
      <c r="H193" s="140"/>
      <c r="I193" s="140"/>
      <c r="J193" s="140"/>
    </row>
    <row r="194" spans="4:10">
      <c r="D194" s="79" t="e">
        <f t="shared" si="9"/>
        <v>#DIV/0!</v>
      </c>
      <c r="E194" s="140" t="e">
        <f t="shared" ref="E194:E257" si="10">AVERAGE(F194:Q194)</f>
        <v>#DIV/0!</v>
      </c>
      <c r="F194" s="140"/>
      <c r="G194" s="140"/>
      <c r="H194" s="140"/>
      <c r="I194" s="140"/>
      <c r="J194" s="140"/>
    </row>
    <row r="195" spans="4:10">
      <c r="D195" s="79" t="e">
        <f t="shared" si="9"/>
        <v>#DIV/0!</v>
      </c>
      <c r="E195" s="140" t="e">
        <f t="shared" si="10"/>
        <v>#DIV/0!</v>
      </c>
      <c r="F195" s="140"/>
      <c r="G195" s="140"/>
      <c r="H195" s="140"/>
      <c r="I195" s="140"/>
      <c r="J195" s="140"/>
    </row>
    <row r="196" spans="4:10">
      <c r="D196" s="79" t="e">
        <f t="shared" si="9"/>
        <v>#DIV/0!</v>
      </c>
      <c r="E196" s="140" t="e">
        <f t="shared" si="10"/>
        <v>#DIV/0!</v>
      </c>
      <c r="F196" s="140"/>
      <c r="G196" s="140"/>
      <c r="H196" s="140"/>
      <c r="I196" s="140"/>
      <c r="J196" s="140"/>
    </row>
    <row r="197" spans="4:10">
      <c r="D197" s="79" t="e">
        <f t="shared" si="9"/>
        <v>#DIV/0!</v>
      </c>
      <c r="E197" s="140" t="e">
        <f t="shared" si="10"/>
        <v>#DIV/0!</v>
      </c>
      <c r="F197" s="140"/>
      <c r="G197" s="140"/>
      <c r="H197" s="140"/>
      <c r="I197" s="140"/>
      <c r="J197" s="140"/>
    </row>
    <row r="198" spans="4:10">
      <c r="D198" s="79" t="e">
        <f t="shared" si="9"/>
        <v>#DIV/0!</v>
      </c>
      <c r="E198" s="140" t="e">
        <f t="shared" si="10"/>
        <v>#DIV/0!</v>
      </c>
      <c r="F198" s="140"/>
      <c r="G198" s="140"/>
      <c r="H198" s="140"/>
      <c r="I198" s="140"/>
      <c r="J198" s="140"/>
    </row>
    <row r="199" spans="4:10">
      <c r="D199" s="79" t="e">
        <f t="shared" si="9"/>
        <v>#DIV/0!</v>
      </c>
      <c r="E199" s="140" t="e">
        <f t="shared" si="10"/>
        <v>#DIV/0!</v>
      </c>
      <c r="F199" s="140"/>
      <c r="G199" s="140"/>
      <c r="H199" s="140"/>
      <c r="I199" s="140"/>
      <c r="J199" s="140"/>
    </row>
    <row r="200" spans="4:10">
      <c r="D200" s="79" t="e">
        <f t="shared" si="9"/>
        <v>#DIV/0!</v>
      </c>
      <c r="E200" s="140" t="e">
        <f t="shared" si="10"/>
        <v>#DIV/0!</v>
      </c>
      <c r="F200" s="140"/>
      <c r="G200" s="140"/>
      <c r="H200" s="140"/>
      <c r="I200" s="140"/>
      <c r="J200" s="140"/>
    </row>
    <row r="201" spans="4:10">
      <c r="D201" s="79" t="e">
        <f t="shared" si="9"/>
        <v>#DIV/0!</v>
      </c>
      <c r="E201" s="140" t="e">
        <f t="shared" si="10"/>
        <v>#DIV/0!</v>
      </c>
      <c r="F201" s="140"/>
      <c r="G201" s="140"/>
      <c r="H201" s="140"/>
      <c r="I201" s="140"/>
      <c r="J201" s="140"/>
    </row>
    <row r="202" spans="4:10">
      <c r="D202" s="79" t="e">
        <f t="shared" si="9"/>
        <v>#DIV/0!</v>
      </c>
      <c r="E202" s="140" t="e">
        <f t="shared" si="10"/>
        <v>#DIV/0!</v>
      </c>
      <c r="F202" s="140"/>
      <c r="G202" s="140"/>
      <c r="H202" s="140"/>
      <c r="I202" s="140"/>
      <c r="J202" s="140"/>
    </row>
    <row r="203" spans="4:10">
      <c r="D203" s="79" t="e">
        <f t="shared" ref="D203:D234" si="11">E203*(1+$O$1)</f>
        <v>#DIV/0!</v>
      </c>
      <c r="E203" s="140" t="e">
        <f t="shared" si="10"/>
        <v>#DIV/0!</v>
      </c>
      <c r="F203" s="140"/>
      <c r="G203" s="140"/>
      <c r="H203" s="140"/>
      <c r="I203" s="140"/>
      <c r="J203" s="140"/>
    </row>
    <row r="204" spans="4:10">
      <c r="D204" s="79" t="e">
        <f t="shared" si="11"/>
        <v>#DIV/0!</v>
      </c>
      <c r="E204" s="140" t="e">
        <f t="shared" si="10"/>
        <v>#DIV/0!</v>
      </c>
      <c r="F204" s="140"/>
      <c r="G204" s="140"/>
      <c r="H204" s="140"/>
      <c r="I204" s="140"/>
      <c r="J204" s="140"/>
    </row>
    <row r="205" spans="4:10">
      <c r="D205" s="79" t="e">
        <f t="shared" si="11"/>
        <v>#DIV/0!</v>
      </c>
      <c r="E205" s="140" t="e">
        <f t="shared" si="10"/>
        <v>#DIV/0!</v>
      </c>
      <c r="F205" s="140"/>
      <c r="G205" s="140"/>
      <c r="H205" s="140"/>
      <c r="I205" s="140"/>
      <c r="J205" s="140"/>
    </row>
    <row r="206" spans="4:10">
      <c r="D206" s="79" t="e">
        <f t="shared" si="11"/>
        <v>#DIV/0!</v>
      </c>
      <c r="E206" s="140" t="e">
        <f t="shared" si="10"/>
        <v>#DIV/0!</v>
      </c>
      <c r="F206" s="140"/>
      <c r="G206" s="140"/>
      <c r="H206" s="140"/>
      <c r="I206" s="140"/>
      <c r="J206" s="140"/>
    </row>
    <row r="207" spans="4:10">
      <c r="D207" s="79" t="e">
        <f t="shared" si="11"/>
        <v>#DIV/0!</v>
      </c>
      <c r="E207" s="140" t="e">
        <f t="shared" si="10"/>
        <v>#DIV/0!</v>
      </c>
      <c r="F207" s="140"/>
      <c r="G207" s="140"/>
      <c r="H207" s="140"/>
      <c r="I207" s="140"/>
      <c r="J207" s="140"/>
    </row>
    <row r="208" spans="4:10">
      <c r="D208" s="79" t="e">
        <f t="shared" si="11"/>
        <v>#DIV/0!</v>
      </c>
      <c r="E208" s="140" t="e">
        <f t="shared" si="10"/>
        <v>#DIV/0!</v>
      </c>
      <c r="F208" s="140"/>
      <c r="G208" s="140"/>
      <c r="H208" s="140"/>
      <c r="I208" s="140"/>
      <c r="J208" s="140"/>
    </row>
    <row r="209" spans="4:10">
      <c r="D209" s="79" t="e">
        <f t="shared" si="11"/>
        <v>#DIV/0!</v>
      </c>
      <c r="E209" s="140" t="e">
        <f t="shared" si="10"/>
        <v>#DIV/0!</v>
      </c>
      <c r="F209" s="140"/>
      <c r="G209" s="140"/>
      <c r="H209" s="140"/>
      <c r="I209" s="140"/>
      <c r="J209" s="140"/>
    </row>
    <row r="210" spans="4:10">
      <c r="D210" s="79" t="e">
        <f t="shared" si="11"/>
        <v>#DIV/0!</v>
      </c>
      <c r="E210" s="140" t="e">
        <f t="shared" si="10"/>
        <v>#DIV/0!</v>
      </c>
      <c r="F210" s="140"/>
      <c r="G210" s="140"/>
      <c r="H210" s="140"/>
      <c r="I210" s="140"/>
      <c r="J210" s="140"/>
    </row>
    <row r="211" spans="4:10">
      <c r="D211" s="79" t="e">
        <f t="shared" si="11"/>
        <v>#DIV/0!</v>
      </c>
      <c r="E211" s="140" t="e">
        <f t="shared" si="10"/>
        <v>#DIV/0!</v>
      </c>
      <c r="F211" s="140"/>
      <c r="G211" s="140"/>
      <c r="H211" s="140"/>
      <c r="I211" s="140"/>
      <c r="J211" s="140"/>
    </row>
    <row r="212" spans="4:10">
      <c r="D212" s="79" t="e">
        <f t="shared" si="11"/>
        <v>#DIV/0!</v>
      </c>
      <c r="E212" s="140" t="e">
        <f t="shared" si="10"/>
        <v>#DIV/0!</v>
      </c>
      <c r="F212" s="140"/>
      <c r="G212" s="140"/>
      <c r="H212" s="140"/>
      <c r="I212" s="140"/>
      <c r="J212" s="140"/>
    </row>
    <row r="213" spans="4:10">
      <c r="D213" s="79" t="e">
        <f t="shared" si="11"/>
        <v>#DIV/0!</v>
      </c>
      <c r="E213" s="140" t="e">
        <f t="shared" si="10"/>
        <v>#DIV/0!</v>
      </c>
      <c r="F213" s="140"/>
      <c r="G213" s="140"/>
      <c r="H213" s="140"/>
      <c r="I213" s="140"/>
      <c r="J213" s="140"/>
    </row>
    <row r="214" spans="4:10">
      <c r="D214" s="79" t="e">
        <f t="shared" si="11"/>
        <v>#DIV/0!</v>
      </c>
      <c r="E214" s="140" t="e">
        <f t="shared" si="10"/>
        <v>#DIV/0!</v>
      </c>
      <c r="F214" s="140"/>
      <c r="G214" s="140"/>
      <c r="H214" s="140"/>
      <c r="I214" s="140"/>
      <c r="J214" s="140"/>
    </row>
    <row r="215" spans="4:10">
      <c r="D215" s="79" t="e">
        <f t="shared" si="11"/>
        <v>#DIV/0!</v>
      </c>
      <c r="E215" s="140" t="e">
        <f t="shared" si="10"/>
        <v>#DIV/0!</v>
      </c>
      <c r="F215" s="140"/>
      <c r="G215" s="140"/>
      <c r="H215" s="140"/>
      <c r="I215" s="140"/>
      <c r="J215" s="140"/>
    </row>
    <row r="216" spans="4:10">
      <c r="D216" s="79" t="e">
        <f t="shared" si="11"/>
        <v>#DIV/0!</v>
      </c>
      <c r="E216" s="140" t="e">
        <f t="shared" si="10"/>
        <v>#DIV/0!</v>
      </c>
      <c r="F216" s="140"/>
      <c r="G216" s="140"/>
      <c r="H216" s="140"/>
      <c r="I216" s="140"/>
      <c r="J216" s="140"/>
    </row>
    <row r="217" spans="4:10">
      <c r="D217" s="79" t="e">
        <f t="shared" si="11"/>
        <v>#DIV/0!</v>
      </c>
      <c r="E217" s="140" t="e">
        <f t="shared" si="10"/>
        <v>#DIV/0!</v>
      </c>
      <c r="F217" s="140"/>
      <c r="G217" s="140"/>
      <c r="H217" s="140"/>
      <c r="I217" s="140"/>
      <c r="J217" s="140"/>
    </row>
    <row r="218" spans="4:10">
      <c r="D218" s="79" t="e">
        <f t="shared" si="11"/>
        <v>#DIV/0!</v>
      </c>
      <c r="E218" s="140" t="e">
        <f t="shared" si="10"/>
        <v>#DIV/0!</v>
      </c>
      <c r="F218" s="140"/>
      <c r="G218" s="140"/>
      <c r="H218" s="140"/>
      <c r="I218" s="140"/>
      <c r="J218" s="140"/>
    </row>
    <row r="219" spans="4:10">
      <c r="D219" s="79" t="e">
        <f t="shared" si="11"/>
        <v>#DIV/0!</v>
      </c>
      <c r="E219" s="140" t="e">
        <f t="shared" si="10"/>
        <v>#DIV/0!</v>
      </c>
      <c r="F219" s="140"/>
      <c r="G219" s="140"/>
      <c r="H219" s="140"/>
      <c r="I219" s="140"/>
      <c r="J219" s="140"/>
    </row>
    <row r="220" spans="4:10">
      <c r="D220" s="79" t="e">
        <f t="shared" si="11"/>
        <v>#DIV/0!</v>
      </c>
      <c r="E220" s="140" t="e">
        <f t="shared" si="10"/>
        <v>#DIV/0!</v>
      </c>
      <c r="F220" s="140"/>
      <c r="G220" s="140"/>
      <c r="H220" s="140"/>
      <c r="I220" s="140"/>
      <c r="J220" s="140"/>
    </row>
    <row r="221" spans="4:10">
      <c r="D221" s="79" t="e">
        <f t="shared" si="11"/>
        <v>#DIV/0!</v>
      </c>
      <c r="E221" s="140" t="e">
        <f t="shared" si="10"/>
        <v>#DIV/0!</v>
      </c>
      <c r="F221" s="140"/>
      <c r="G221" s="140"/>
      <c r="H221" s="140"/>
      <c r="I221" s="140"/>
      <c r="J221" s="140"/>
    </row>
    <row r="222" spans="4:10">
      <c r="D222" s="79" t="e">
        <f t="shared" si="11"/>
        <v>#DIV/0!</v>
      </c>
      <c r="E222" s="140" t="e">
        <f t="shared" si="10"/>
        <v>#DIV/0!</v>
      </c>
      <c r="F222" s="140"/>
      <c r="G222" s="140"/>
      <c r="H222" s="140"/>
      <c r="I222" s="140"/>
      <c r="J222" s="140"/>
    </row>
    <row r="223" spans="4:10">
      <c r="D223" s="79" t="e">
        <f t="shared" si="11"/>
        <v>#DIV/0!</v>
      </c>
      <c r="E223" s="140" t="e">
        <f t="shared" si="10"/>
        <v>#DIV/0!</v>
      </c>
      <c r="F223" s="140"/>
      <c r="G223" s="140"/>
      <c r="H223" s="140"/>
      <c r="I223" s="140"/>
      <c r="J223" s="140"/>
    </row>
    <row r="224" spans="4:10">
      <c r="D224" s="79" t="e">
        <f t="shared" si="11"/>
        <v>#DIV/0!</v>
      </c>
      <c r="E224" s="140" t="e">
        <f t="shared" si="10"/>
        <v>#DIV/0!</v>
      </c>
      <c r="F224" s="140"/>
      <c r="G224" s="140"/>
      <c r="H224" s="140"/>
      <c r="I224" s="140"/>
      <c r="J224" s="140"/>
    </row>
    <row r="225" spans="4:10">
      <c r="D225" s="79" t="e">
        <f t="shared" si="11"/>
        <v>#DIV/0!</v>
      </c>
      <c r="E225" s="140" t="e">
        <f t="shared" si="10"/>
        <v>#DIV/0!</v>
      </c>
      <c r="F225" s="140"/>
      <c r="G225" s="140"/>
      <c r="H225" s="140"/>
      <c r="I225" s="140"/>
      <c r="J225" s="140"/>
    </row>
    <row r="226" spans="4:10">
      <c r="D226" s="79" t="e">
        <f t="shared" si="11"/>
        <v>#DIV/0!</v>
      </c>
      <c r="E226" s="140" t="e">
        <f t="shared" si="10"/>
        <v>#DIV/0!</v>
      </c>
      <c r="F226" s="140"/>
      <c r="G226" s="140"/>
      <c r="H226" s="140"/>
      <c r="I226" s="140"/>
      <c r="J226" s="140"/>
    </row>
    <row r="227" spans="4:10">
      <c r="D227" s="79" t="e">
        <f t="shared" si="11"/>
        <v>#DIV/0!</v>
      </c>
      <c r="E227" s="140" t="e">
        <f t="shared" si="10"/>
        <v>#DIV/0!</v>
      </c>
      <c r="F227" s="140"/>
      <c r="G227" s="140"/>
      <c r="H227" s="140"/>
      <c r="I227" s="140"/>
      <c r="J227" s="140"/>
    </row>
    <row r="228" spans="4:10">
      <c r="D228" s="79" t="e">
        <f t="shared" si="11"/>
        <v>#DIV/0!</v>
      </c>
      <c r="E228" s="140" t="e">
        <f t="shared" si="10"/>
        <v>#DIV/0!</v>
      </c>
      <c r="F228" s="140"/>
      <c r="G228" s="140"/>
      <c r="H228" s="140"/>
      <c r="I228" s="140"/>
      <c r="J228" s="140"/>
    </row>
    <row r="229" spans="4:10">
      <c r="D229" s="79" t="e">
        <f t="shared" si="11"/>
        <v>#DIV/0!</v>
      </c>
      <c r="E229" s="140" t="e">
        <f t="shared" si="10"/>
        <v>#DIV/0!</v>
      </c>
      <c r="F229" s="140"/>
      <c r="G229" s="140"/>
      <c r="H229" s="140"/>
      <c r="I229" s="140"/>
      <c r="J229" s="140"/>
    </row>
    <row r="230" spans="4:10">
      <c r="D230" s="79" t="e">
        <f t="shared" si="11"/>
        <v>#DIV/0!</v>
      </c>
      <c r="E230" s="140" t="e">
        <f t="shared" si="10"/>
        <v>#DIV/0!</v>
      </c>
      <c r="F230" s="140"/>
      <c r="G230" s="140"/>
      <c r="H230" s="140"/>
      <c r="I230" s="140"/>
      <c r="J230" s="140"/>
    </row>
    <row r="231" spans="4:10">
      <c r="D231" s="79" t="e">
        <f t="shared" si="11"/>
        <v>#DIV/0!</v>
      </c>
      <c r="E231" s="140" t="e">
        <f t="shared" si="10"/>
        <v>#DIV/0!</v>
      </c>
      <c r="F231" s="140"/>
      <c r="G231" s="140"/>
      <c r="H231" s="140"/>
      <c r="I231" s="140"/>
      <c r="J231" s="140"/>
    </row>
    <row r="232" spans="4:10">
      <c r="D232" s="79" t="e">
        <f t="shared" si="11"/>
        <v>#DIV/0!</v>
      </c>
      <c r="E232" s="140" t="e">
        <f t="shared" si="10"/>
        <v>#DIV/0!</v>
      </c>
      <c r="F232" s="140"/>
      <c r="G232" s="140"/>
      <c r="H232" s="140"/>
      <c r="I232" s="140"/>
      <c r="J232" s="140"/>
    </row>
    <row r="233" spans="4:10">
      <c r="D233" s="79" t="e">
        <f t="shared" si="11"/>
        <v>#DIV/0!</v>
      </c>
      <c r="E233" s="140" t="e">
        <f t="shared" si="10"/>
        <v>#DIV/0!</v>
      </c>
      <c r="F233" s="140"/>
      <c r="G233" s="140"/>
      <c r="H233" s="140"/>
      <c r="I233" s="140"/>
      <c r="J233" s="140"/>
    </row>
    <row r="234" spans="4:10">
      <c r="D234" s="79" t="e">
        <f t="shared" si="11"/>
        <v>#DIV/0!</v>
      </c>
      <c r="E234" s="140" t="e">
        <f t="shared" si="10"/>
        <v>#DIV/0!</v>
      </c>
      <c r="F234" s="140"/>
      <c r="G234" s="140"/>
      <c r="H234" s="140"/>
      <c r="I234" s="140"/>
      <c r="J234" s="140"/>
    </row>
    <row r="235" spans="4:10">
      <c r="D235" s="79" t="e">
        <f t="shared" ref="D235:D266" si="12">E235*(1+$O$1)</f>
        <v>#DIV/0!</v>
      </c>
      <c r="E235" s="140" t="e">
        <f t="shared" si="10"/>
        <v>#DIV/0!</v>
      </c>
      <c r="F235" s="140"/>
      <c r="G235" s="140"/>
      <c r="H235" s="140"/>
      <c r="I235" s="140"/>
      <c r="J235" s="140"/>
    </row>
    <row r="236" spans="4:10">
      <c r="D236" s="79" t="e">
        <f t="shared" si="12"/>
        <v>#DIV/0!</v>
      </c>
      <c r="E236" s="140" t="e">
        <f t="shared" si="10"/>
        <v>#DIV/0!</v>
      </c>
      <c r="F236" s="140"/>
      <c r="G236" s="140"/>
      <c r="H236" s="140"/>
      <c r="I236" s="140"/>
      <c r="J236" s="140"/>
    </row>
    <row r="237" spans="4:10">
      <c r="D237" s="79" t="e">
        <f t="shared" si="12"/>
        <v>#DIV/0!</v>
      </c>
      <c r="E237" s="140" t="e">
        <f t="shared" si="10"/>
        <v>#DIV/0!</v>
      </c>
      <c r="F237" s="140"/>
      <c r="G237" s="140"/>
      <c r="H237" s="140"/>
      <c r="I237" s="140"/>
      <c r="J237" s="140"/>
    </row>
    <row r="238" spans="4:10">
      <c r="D238" s="79" t="e">
        <f t="shared" si="12"/>
        <v>#DIV/0!</v>
      </c>
      <c r="E238" s="140" t="e">
        <f t="shared" si="10"/>
        <v>#DIV/0!</v>
      </c>
      <c r="F238" s="140"/>
      <c r="G238" s="140"/>
      <c r="H238" s="140"/>
      <c r="I238" s="140"/>
      <c r="J238" s="140"/>
    </row>
    <row r="239" spans="4:10">
      <c r="D239" s="79" t="e">
        <f t="shared" si="12"/>
        <v>#DIV/0!</v>
      </c>
      <c r="E239" s="140" t="e">
        <f t="shared" si="10"/>
        <v>#DIV/0!</v>
      </c>
      <c r="F239" s="140"/>
      <c r="G239" s="140"/>
      <c r="H239" s="140"/>
      <c r="I239" s="140"/>
      <c r="J239" s="140"/>
    </row>
    <row r="240" spans="4:10">
      <c r="D240" s="79" t="e">
        <f t="shared" si="12"/>
        <v>#DIV/0!</v>
      </c>
      <c r="E240" s="140" t="e">
        <f t="shared" si="10"/>
        <v>#DIV/0!</v>
      </c>
      <c r="F240" s="140"/>
      <c r="G240" s="140"/>
      <c r="H240" s="140"/>
      <c r="I240" s="140"/>
      <c r="J240" s="140"/>
    </row>
    <row r="241" spans="1:10">
      <c r="D241" s="79" t="e">
        <f t="shared" si="12"/>
        <v>#DIV/0!</v>
      </c>
      <c r="E241" s="140" t="e">
        <f t="shared" si="10"/>
        <v>#DIV/0!</v>
      </c>
      <c r="F241" s="140"/>
      <c r="G241" s="140"/>
      <c r="H241" s="140"/>
      <c r="I241" s="140"/>
      <c r="J241" s="140"/>
    </row>
    <row r="242" spans="1:10">
      <c r="D242" s="79" t="e">
        <f t="shared" si="12"/>
        <v>#DIV/0!</v>
      </c>
      <c r="E242" s="140" t="e">
        <f t="shared" si="10"/>
        <v>#DIV/0!</v>
      </c>
      <c r="F242" s="140"/>
      <c r="G242" s="140"/>
      <c r="H242" s="140"/>
      <c r="I242" s="140"/>
      <c r="J242" s="140"/>
    </row>
    <row r="243" spans="1:10">
      <c r="D243" s="79" t="e">
        <f t="shared" si="12"/>
        <v>#DIV/0!</v>
      </c>
      <c r="E243" s="140" t="e">
        <f t="shared" si="10"/>
        <v>#DIV/0!</v>
      </c>
      <c r="F243" s="140"/>
      <c r="G243" s="140"/>
      <c r="H243" s="140"/>
      <c r="I243" s="140"/>
      <c r="J243" s="140"/>
    </row>
    <row r="244" spans="1:10">
      <c r="A244" s="156"/>
      <c r="D244" s="79" t="e">
        <f t="shared" si="12"/>
        <v>#DIV/0!</v>
      </c>
      <c r="E244" s="140" t="e">
        <f t="shared" si="10"/>
        <v>#DIV/0!</v>
      </c>
      <c r="F244" s="140"/>
      <c r="G244" s="140"/>
      <c r="H244" s="157"/>
      <c r="I244" s="140"/>
      <c r="J244" s="140"/>
    </row>
    <row r="245" spans="1:10">
      <c r="A245" s="156"/>
      <c r="D245" s="79" t="e">
        <f t="shared" si="12"/>
        <v>#DIV/0!</v>
      </c>
      <c r="E245" s="140" t="e">
        <f t="shared" si="10"/>
        <v>#DIV/0!</v>
      </c>
      <c r="F245" s="140"/>
      <c r="G245" s="140"/>
      <c r="H245" s="157"/>
      <c r="I245" s="140"/>
      <c r="J245" s="140"/>
    </row>
    <row r="246" spans="1:10">
      <c r="D246" s="79" t="e">
        <f t="shared" si="12"/>
        <v>#DIV/0!</v>
      </c>
      <c r="E246" s="140" t="e">
        <f t="shared" si="10"/>
        <v>#DIV/0!</v>
      </c>
      <c r="F246" s="140"/>
      <c r="G246" s="140"/>
      <c r="H246" s="140"/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57</v>
      </c>
      <c r="D2" t="s">
        <v>145</v>
      </c>
    </row>
    <row r="3" spans="1:4">
      <c r="A3" t="s">
        <v>146</v>
      </c>
    </row>
    <row r="4" spans="1:4">
      <c r="A4" t="s">
        <v>147</v>
      </c>
    </row>
    <row r="5" spans="1:4">
      <c r="A5" t="s">
        <v>148</v>
      </c>
    </row>
    <row r="6" spans="1:4">
      <c r="A6" t="s">
        <v>149</v>
      </c>
    </row>
    <row r="7" spans="1:4">
      <c r="A7" t="s">
        <v>150</v>
      </c>
    </row>
    <row r="8" spans="1:4">
      <c r="A8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152</v>
      </c>
      <c r="C1" s="69"/>
      <c r="D1" s="155"/>
      <c r="E1" s="87"/>
      <c r="I1" s="164" t="s">
        <v>153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154</v>
      </c>
      <c r="B3" s="161"/>
      <c r="C3" s="172"/>
      <c r="D3" s="173"/>
      <c r="E3" s="174" t="s">
        <v>155</v>
      </c>
      <c r="F3" s="174" t="s">
        <v>156</v>
      </c>
      <c r="G3" s="175"/>
      <c r="H3" s="175"/>
      <c r="I3" s="176" t="s">
        <v>157</v>
      </c>
      <c r="J3" s="176" t="s">
        <v>158</v>
      </c>
      <c r="K3" s="177"/>
      <c r="L3" s="178" t="s">
        <v>159</v>
      </c>
    </row>
    <row r="4" spans="1:15" ht="17" thickTop="1">
      <c r="A4" s="159" t="s">
        <v>23</v>
      </c>
      <c r="C4" s="246" t="s">
        <v>22</v>
      </c>
      <c r="D4" s="248">
        <f>SUMPRODUCT(I4:I9, E4:E9)</f>
        <v>20.011428571428571</v>
      </c>
      <c r="E4" s="212">
        <v>3</v>
      </c>
      <c r="F4" s="119">
        <f t="shared" ref="F4:F9" si="0">$J$1*E4</f>
        <v>90</v>
      </c>
      <c r="H4" t="s">
        <v>160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6"/>
      <c r="D5" s="248"/>
      <c r="E5" s="212">
        <v>5</v>
      </c>
      <c r="F5" s="119">
        <f t="shared" si="0"/>
        <v>150</v>
      </c>
      <c r="H5" t="s">
        <v>161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6"/>
      <c r="D6" s="248"/>
      <c r="E6" s="212">
        <v>1</v>
      </c>
      <c r="F6" s="119">
        <f t="shared" si="0"/>
        <v>30</v>
      </c>
      <c r="H6" t="s">
        <v>162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6"/>
      <c r="D7" s="248"/>
      <c r="E7" s="212">
        <v>1</v>
      </c>
      <c r="F7" s="119">
        <f t="shared" si="0"/>
        <v>30</v>
      </c>
      <c r="H7" t="s">
        <v>163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6"/>
      <c r="D8" s="248"/>
      <c r="E8" s="212">
        <v>0</v>
      </c>
      <c r="F8" s="119">
        <f t="shared" si="0"/>
        <v>0</v>
      </c>
      <c r="H8" t="s">
        <v>164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7"/>
      <c r="D9" s="249"/>
      <c r="E9" s="167">
        <v>2</v>
      </c>
      <c r="F9" s="168">
        <f t="shared" si="0"/>
        <v>60</v>
      </c>
      <c r="G9" s="169"/>
      <c r="H9" s="169" t="s">
        <v>165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2" t="s">
        <v>166</v>
      </c>
      <c r="G12" s="242"/>
      <c r="H12" s="242"/>
      <c r="I12" s="242"/>
      <c r="J12" s="242"/>
    </row>
    <row r="13" spans="1:15" ht="19">
      <c r="A13" s="160" t="s">
        <v>33</v>
      </c>
      <c r="F13" s="241" t="s">
        <v>167</v>
      </c>
      <c r="G13" s="241"/>
      <c r="H13" s="241"/>
      <c r="I13" s="241"/>
      <c r="J13" s="241"/>
      <c r="K13" s="159"/>
      <c r="L13" s="159"/>
      <c r="M13" s="159"/>
    </row>
    <row r="14" spans="1:15" ht="19">
      <c r="A14" s="160" t="s">
        <v>29</v>
      </c>
      <c r="F14" s="241" t="s">
        <v>168</v>
      </c>
      <c r="G14" s="241"/>
      <c r="H14" s="241"/>
      <c r="I14" s="241"/>
      <c r="J14" s="241"/>
      <c r="K14" s="159"/>
      <c r="L14" s="159"/>
      <c r="M14" s="159"/>
    </row>
    <row r="15" spans="1:15" ht="19">
      <c r="A15" s="159" t="s">
        <v>34</v>
      </c>
      <c r="F15" s="241" t="s">
        <v>169</v>
      </c>
      <c r="G15" s="241"/>
      <c r="H15" s="241"/>
      <c r="I15" s="241"/>
      <c r="J15" s="241"/>
      <c r="K15" s="241"/>
      <c r="L15" s="241"/>
      <c r="M15" s="241"/>
    </row>
    <row r="16" spans="1:15" ht="19">
      <c r="A16" s="160" t="s">
        <v>40</v>
      </c>
      <c r="F16" s="241" t="s">
        <v>170</v>
      </c>
      <c r="G16" s="241"/>
      <c r="H16" s="241"/>
      <c r="I16" s="241"/>
      <c r="J16" s="241"/>
      <c r="K16" s="159"/>
      <c r="L16" s="159"/>
      <c r="M16" s="159"/>
    </row>
    <row r="17" spans="1:27" ht="19">
      <c r="A17" s="160" t="s">
        <v>41</v>
      </c>
      <c r="F17" s="241" t="s">
        <v>171</v>
      </c>
      <c r="G17" s="241"/>
      <c r="H17" s="241"/>
      <c r="I17" s="241"/>
      <c r="J17" s="241"/>
      <c r="K17" s="159"/>
      <c r="L17" s="159"/>
      <c r="M17" s="159"/>
    </row>
    <row r="18" spans="1:27">
      <c r="A18" s="160" t="s">
        <v>35</v>
      </c>
    </row>
    <row r="19" spans="1:27">
      <c r="A19" s="160" t="s">
        <v>39</v>
      </c>
      <c r="F19" t="s">
        <v>172</v>
      </c>
      <c r="G19" s="119" t="s">
        <v>173</v>
      </c>
      <c r="H19" s="119"/>
      <c r="I19" s="119"/>
      <c r="J19" s="119"/>
      <c r="K19" s="119"/>
      <c r="L19" s="119"/>
      <c r="M19" s="119"/>
      <c r="N19" s="119"/>
      <c r="O19" s="119" t="s">
        <v>174</v>
      </c>
      <c r="P19" s="119"/>
      <c r="Q19" s="119" t="s">
        <v>175</v>
      </c>
      <c r="R19" s="119"/>
      <c r="S19" s="119"/>
      <c r="T19" s="119"/>
      <c r="U19" s="119" t="s">
        <v>176</v>
      </c>
      <c r="V19" s="119"/>
      <c r="W19" s="119" t="s">
        <v>177</v>
      </c>
      <c r="X19" s="119"/>
    </row>
    <row r="20" spans="1:27" ht="35" thickBot="1">
      <c r="A20" s="160" t="s">
        <v>37</v>
      </c>
      <c r="B20" s="243" t="s">
        <v>178</v>
      </c>
      <c r="C20" s="243" t="s">
        <v>179</v>
      </c>
      <c r="D20" s="87"/>
      <c r="E20" s="87"/>
      <c r="F20" s="87" t="s">
        <v>180</v>
      </c>
      <c r="G20" s="87" t="s">
        <v>181</v>
      </c>
      <c r="H20" s="87" t="s">
        <v>182</v>
      </c>
      <c r="I20" s="87" t="s">
        <v>183</v>
      </c>
      <c r="J20" s="87" t="s">
        <v>184</v>
      </c>
      <c r="K20" s="87" t="s">
        <v>185</v>
      </c>
      <c r="L20" s="87" t="s">
        <v>186</v>
      </c>
      <c r="M20" s="87" t="s">
        <v>33</v>
      </c>
      <c r="N20" s="87" t="s">
        <v>41</v>
      </c>
      <c r="O20" s="87" t="s">
        <v>187</v>
      </c>
      <c r="P20" s="87" t="s">
        <v>40</v>
      </c>
      <c r="Q20" s="87" t="s">
        <v>43</v>
      </c>
      <c r="R20" s="87" t="s">
        <v>188</v>
      </c>
      <c r="S20" s="87" t="s">
        <v>189</v>
      </c>
      <c r="T20" s="87" t="s">
        <v>46</v>
      </c>
      <c r="U20" s="87" t="s">
        <v>120</v>
      </c>
      <c r="V20" s="87" t="s">
        <v>118</v>
      </c>
      <c r="W20" s="87" t="s">
        <v>54</v>
      </c>
      <c r="X20" s="87" t="s">
        <v>55</v>
      </c>
      <c r="Z20" s="87"/>
    </row>
    <row r="21" spans="1:27" ht="32" customHeight="1" thickTop="1" thickBot="1">
      <c r="A21" s="159" t="s">
        <v>190</v>
      </c>
      <c r="B21" s="243"/>
      <c r="C21" s="243"/>
      <c r="D21" s="244" t="s">
        <v>191</v>
      </c>
      <c r="E21" s="245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43</v>
      </c>
      <c r="D22" s="195" t="s">
        <v>192</v>
      </c>
      <c r="E22" s="194" t="s">
        <v>193</v>
      </c>
      <c r="F22" s="74" t="s">
        <v>194</v>
      </c>
      <c r="G22" s="74" t="s">
        <v>195</v>
      </c>
      <c r="H22" s="74" t="s">
        <v>196</v>
      </c>
      <c r="I22" s="74" t="s">
        <v>197</v>
      </c>
      <c r="J22" s="74" t="s">
        <v>198</v>
      </c>
      <c r="K22" s="74" t="s">
        <v>198</v>
      </c>
      <c r="L22" s="74" t="s">
        <v>199</v>
      </c>
      <c r="M22" s="74" t="s">
        <v>200</v>
      </c>
      <c r="N22" s="74" t="s">
        <v>199</v>
      </c>
      <c r="O22" s="74" t="s">
        <v>196</v>
      </c>
      <c r="P22" s="74"/>
      <c r="Q22" s="74" t="s">
        <v>198</v>
      </c>
      <c r="R22" s="74"/>
      <c r="S22" s="74" t="s">
        <v>201</v>
      </c>
      <c r="T22" s="74" t="s">
        <v>198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44</v>
      </c>
      <c r="D23" s="195" t="s">
        <v>202</v>
      </c>
      <c r="E23" s="194" t="s">
        <v>203</v>
      </c>
      <c r="F23" s="74" t="s">
        <v>204</v>
      </c>
      <c r="G23" s="74"/>
      <c r="H23" s="74" t="s">
        <v>205</v>
      </c>
      <c r="I23" s="74" t="s">
        <v>197</v>
      </c>
      <c r="J23" s="74" t="s">
        <v>206</v>
      </c>
      <c r="K23" s="74"/>
      <c r="L23" s="74" t="s">
        <v>207</v>
      </c>
      <c r="M23" s="74" t="s">
        <v>208</v>
      </c>
      <c r="N23" s="74" t="s">
        <v>209</v>
      </c>
      <c r="O23" s="74" t="s">
        <v>196</v>
      </c>
      <c r="P23" s="74"/>
      <c r="Q23" s="74" t="s">
        <v>198</v>
      </c>
      <c r="R23" s="74" t="s">
        <v>206</v>
      </c>
      <c r="S23" s="74" t="s">
        <v>210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45</v>
      </c>
      <c r="D24" s="195" t="s">
        <v>211</v>
      </c>
      <c r="E24" s="194" t="s">
        <v>212</v>
      </c>
      <c r="F24" s="74" t="s">
        <v>213</v>
      </c>
      <c r="G24" s="74" t="s">
        <v>195</v>
      </c>
      <c r="H24" s="74" t="s">
        <v>214</v>
      </c>
      <c r="I24" s="74" t="s">
        <v>198</v>
      </c>
      <c r="J24" s="74" t="s">
        <v>215</v>
      </c>
      <c r="K24" s="74"/>
      <c r="L24" s="74" t="s">
        <v>198</v>
      </c>
      <c r="M24" s="74" t="s">
        <v>216</v>
      </c>
      <c r="N24" s="74" t="s">
        <v>217</v>
      </c>
      <c r="O24" s="74"/>
      <c r="P24" s="74"/>
      <c r="Q24" s="74" t="s">
        <v>215</v>
      </c>
      <c r="R24" s="74"/>
      <c r="S24" s="74" t="s">
        <v>198</v>
      </c>
      <c r="T24" s="74" t="s">
        <v>198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46</v>
      </c>
      <c r="D25" s="195" t="s">
        <v>218</v>
      </c>
      <c r="E25" s="194" t="s">
        <v>219</v>
      </c>
      <c r="F25" s="74" t="s">
        <v>220</v>
      </c>
      <c r="G25" s="74"/>
      <c r="H25" s="74" t="s">
        <v>221</v>
      </c>
      <c r="I25" s="74" t="s">
        <v>198</v>
      </c>
      <c r="J25" s="74" t="s">
        <v>206</v>
      </c>
      <c r="K25" s="74"/>
      <c r="L25" s="74"/>
      <c r="M25" s="74" t="s">
        <v>222</v>
      </c>
      <c r="N25" s="74" t="s">
        <v>206</v>
      </c>
      <c r="O25" s="74"/>
      <c r="P25" s="74"/>
      <c r="Q25" s="74"/>
      <c r="R25" s="74" t="s">
        <v>223</v>
      </c>
      <c r="S25" s="74" t="s">
        <v>224</v>
      </c>
      <c r="T25" s="74" t="s">
        <v>225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51</v>
      </c>
      <c r="D26" s="195" t="s">
        <v>226</v>
      </c>
      <c r="E26" s="194" t="s">
        <v>227</v>
      </c>
      <c r="F26" s="74" t="s">
        <v>228</v>
      </c>
      <c r="G26" s="74" t="s">
        <v>195</v>
      </c>
      <c r="H26" s="74" t="s">
        <v>196</v>
      </c>
      <c r="I26" s="74" t="s">
        <v>198</v>
      </c>
      <c r="J26" s="74"/>
      <c r="K26" s="74"/>
      <c r="L26" s="74" t="s">
        <v>207</v>
      </c>
      <c r="M26" s="74" t="s">
        <v>229</v>
      </c>
      <c r="N26" s="74" t="s">
        <v>230</v>
      </c>
      <c r="O26" s="74"/>
      <c r="P26" s="74"/>
      <c r="Q26" s="74" t="s">
        <v>198</v>
      </c>
      <c r="R26" s="74"/>
      <c r="S26" s="74" t="s">
        <v>210</v>
      </c>
      <c r="T26" s="74" t="s">
        <v>198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118</v>
      </c>
      <c r="D27" s="195" t="s">
        <v>231</v>
      </c>
      <c r="E27" s="194" t="s">
        <v>232</v>
      </c>
      <c r="F27" s="74" t="s">
        <v>233</v>
      </c>
      <c r="G27" s="74"/>
      <c r="H27" s="74" t="s">
        <v>234</v>
      </c>
      <c r="I27" s="74" t="s">
        <v>197</v>
      </c>
      <c r="J27" s="74"/>
      <c r="K27" s="74"/>
      <c r="L27" s="74" t="s">
        <v>235</v>
      </c>
      <c r="M27" s="74" t="s">
        <v>236</v>
      </c>
      <c r="N27" s="74" t="s">
        <v>237</v>
      </c>
      <c r="O27" s="74"/>
      <c r="P27" s="74"/>
      <c r="Q27" s="74"/>
      <c r="R27" s="74" t="s">
        <v>223</v>
      </c>
      <c r="S27" s="74" t="s">
        <v>238</v>
      </c>
      <c r="T27" s="74" t="s">
        <v>239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120</v>
      </c>
      <c r="D28" s="197" t="s">
        <v>240</v>
      </c>
      <c r="E28" s="196" t="s">
        <v>241</v>
      </c>
      <c r="F28" s="74" t="s">
        <v>242</v>
      </c>
      <c r="G28" s="74" t="s">
        <v>195</v>
      </c>
      <c r="H28" s="74" t="s">
        <v>196</v>
      </c>
      <c r="I28" s="74" t="s">
        <v>198</v>
      </c>
      <c r="J28" s="74"/>
      <c r="K28" s="74"/>
      <c r="L28" s="74" t="s">
        <v>243</v>
      </c>
      <c r="M28" s="74" t="s">
        <v>244</v>
      </c>
      <c r="N28" s="74" t="s">
        <v>245</v>
      </c>
      <c r="O28" s="74" t="s">
        <v>198</v>
      </c>
      <c r="P28" s="74"/>
      <c r="Q28" s="74" t="s">
        <v>198</v>
      </c>
      <c r="R28" s="74"/>
      <c r="S28" s="74" t="s">
        <v>246</v>
      </c>
      <c r="T28" s="74" t="s">
        <v>198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53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55</v>
      </c>
      <c r="D30" s="244" t="s">
        <v>247</v>
      </c>
      <c r="E30" s="245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140</v>
      </c>
      <c r="D31" s="195" t="s">
        <v>248</v>
      </c>
      <c r="E31" s="194" t="s">
        <v>249</v>
      </c>
      <c r="F31" s="74" t="s">
        <v>250</v>
      </c>
      <c r="G31" s="74" t="s">
        <v>251</v>
      </c>
      <c r="H31" s="74" t="s">
        <v>196</v>
      </c>
      <c r="I31" s="74" t="s">
        <v>198</v>
      </c>
      <c r="J31" s="74"/>
      <c r="K31" s="74"/>
      <c r="L31" s="74" t="s">
        <v>252</v>
      </c>
      <c r="M31" s="74" t="s">
        <v>253</v>
      </c>
      <c r="N31" s="74" t="s">
        <v>254</v>
      </c>
      <c r="O31" s="74"/>
      <c r="P31" s="74"/>
      <c r="Q31" s="74" t="s">
        <v>198</v>
      </c>
      <c r="R31" s="74" t="s">
        <v>255</v>
      </c>
      <c r="S31" s="74" t="s">
        <v>256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54</v>
      </c>
      <c r="D32" s="195" t="s">
        <v>257</v>
      </c>
      <c r="E32" s="194" t="s">
        <v>258</v>
      </c>
      <c r="F32" s="74" t="s">
        <v>259</v>
      </c>
      <c r="G32" s="74"/>
      <c r="H32" s="74" t="s">
        <v>260</v>
      </c>
      <c r="I32" s="74"/>
      <c r="J32" s="74"/>
      <c r="K32" s="74"/>
      <c r="L32" s="74"/>
      <c r="M32" s="74" t="s">
        <v>261</v>
      </c>
      <c r="N32" s="74" t="s">
        <v>206</v>
      </c>
      <c r="O32" s="74"/>
      <c r="P32" s="74"/>
      <c r="Q32" s="74" t="s">
        <v>198</v>
      </c>
      <c r="R32" s="74" t="s">
        <v>262</v>
      </c>
      <c r="S32" s="74" t="s">
        <v>206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144</v>
      </c>
      <c r="D33" s="195" t="s">
        <v>263</v>
      </c>
      <c r="E33" s="194" t="s">
        <v>264</v>
      </c>
      <c r="F33" s="74" t="s">
        <v>265</v>
      </c>
      <c r="G33" s="74"/>
      <c r="H33" s="74" t="s">
        <v>266</v>
      </c>
      <c r="I33" s="74" t="s">
        <v>267</v>
      </c>
      <c r="J33" s="74"/>
      <c r="K33" s="74"/>
      <c r="L33" s="74" t="s">
        <v>268</v>
      </c>
      <c r="M33" s="74" t="s">
        <v>269</v>
      </c>
      <c r="N33" s="74" t="s">
        <v>206</v>
      </c>
      <c r="O33" s="74"/>
      <c r="P33" s="74"/>
      <c r="Q33" s="74" t="s">
        <v>198</v>
      </c>
      <c r="R33" s="74" t="s">
        <v>206</v>
      </c>
      <c r="S33" s="74" t="s">
        <v>206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134</v>
      </c>
      <c r="D34" s="195" t="s">
        <v>270</v>
      </c>
      <c r="E34" s="194" t="s">
        <v>271</v>
      </c>
      <c r="F34" s="74" t="s">
        <v>272</v>
      </c>
      <c r="G34" s="74" t="s">
        <v>251</v>
      </c>
      <c r="H34" s="74"/>
      <c r="I34" s="74" t="s">
        <v>197</v>
      </c>
      <c r="J34" s="74"/>
      <c r="K34" s="74"/>
      <c r="L34" s="74" t="s">
        <v>273</v>
      </c>
      <c r="M34" s="74" t="s">
        <v>274</v>
      </c>
      <c r="N34" s="74" t="s">
        <v>275</v>
      </c>
      <c r="O34" s="74"/>
      <c r="P34" s="74"/>
      <c r="Q34" s="74" t="s">
        <v>198</v>
      </c>
      <c r="R34" s="74" t="s">
        <v>206</v>
      </c>
      <c r="S34" s="74" t="s">
        <v>276</v>
      </c>
      <c r="T34" s="74" t="s">
        <v>198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277</v>
      </c>
      <c r="D35" s="197" t="s">
        <v>278</v>
      </c>
      <c r="E35" s="196" t="s">
        <v>279</v>
      </c>
      <c r="F35" s="74" t="s">
        <v>280</v>
      </c>
      <c r="G35" s="74" t="s">
        <v>281</v>
      </c>
      <c r="H35" s="74" t="s">
        <v>282</v>
      </c>
      <c r="I35" s="74" t="s">
        <v>198</v>
      </c>
      <c r="J35" s="74"/>
      <c r="K35" s="74"/>
      <c r="L35" s="74" t="s">
        <v>283</v>
      </c>
      <c r="M35" s="74" t="s">
        <v>284</v>
      </c>
      <c r="N35" s="74" t="s">
        <v>285</v>
      </c>
      <c r="O35" s="74"/>
      <c r="P35" s="74"/>
      <c r="Q35" s="74" t="s">
        <v>215</v>
      </c>
      <c r="R35" s="74" t="s">
        <v>206</v>
      </c>
      <c r="S35" s="74" t="s">
        <v>286</v>
      </c>
      <c r="T35" s="74" t="s">
        <v>198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287</v>
      </c>
      <c r="E36" s="196" t="s">
        <v>288</v>
      </c>
      <c r="F36" s="74" t="s">
        <v>289</v>
      </c>
      <c r="G36" s="74" t="s">
        <v>281</v>
      </c>
      <c r="H36" s="74" t="s">
        <v>290</v>
      </c>
      <c r="I36" s="74"/>
      <c r="J36" s="74"/>
      <c r="K36" s="74"/>
      <c r="L36" s="74" t="s">
        <v>291</v>
      </c>
      <c r="M36" s="74" t="s">
        <v>292</v>
      </c>
      <c r="N36" s="74" t="s">
        <v>293</v>
      </c>
      <c r="O36" s="74"/>
      <c r="P36" s="74"/>
      <c r="Q36" s="74"/>
      <c r="R36" s="74" t="s">
        <v>225</v>
      </c>
      <c r="S36" s="74" t="s">
        <v>294</v>
      </c>
      <c r="T36" s="74" t="s">
        <v>290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295</v>
      </c>
      <c r="E37" s="196" t="s">
        <v>296</v>
      </c>
      <c r="F37" s="74" t="s">
        <v>297</v>
      </c>
      <c r="G37" s="74" t="s">
        <v>281</v>
      </c>
      <c r="H37" s="74" t="s">
        <v>298</v>
      </c>
      <c r="I37" s="74"/>
      <c r="J37" s="74"/>
      <c r="K37" s="74"/>
      <c r="L37" s="74" t="s">
        <v>299</v>
      </c>
      <c r="M37" s="74" t="s">
        <v>300</v>
      </c>
      <c r="N37" s="74" t="s">
        <v>301</v>
      </c>
      <c r="O37" s="74"/>
      <c r="P37" s="74"/>
      <c r="Q37" s="74"/>
      <c r="R37" s="74" t="s">
        <v>206</v>
      </c>
      <c r="S37" s="74" t="s">
        <v>302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303</v>
      </c>
      <c r="E38" s="196" t="s">
        <v>304</v>
      </c>
      <c r="F38" s="74" t="s">
        <v>305</v>
      </c>
      <c r="G38" s="74"/>
      <c r="H38" s="74" t="s">
        <v>306</v>
      </c>
      <c r="I38" s="74"/>
      <c r="J38" s="74"/>
      <c r="K38" s="74"/>
      <c r="L38" s="74"/>
      <c r="M38" s="74" t="s">
        <v>261</v>
      </c>
      <c r="N38" s="74" t="s">
        <v>206</v>
      </c>
      <c r="O38" s="74"/>
      <c r="P38" s="74"/>
      <c r="Q38" s="74"/>
      <c r="R38" s="74" t="s">
        <v>225</v>
      </c>
      <c r="S38" s="74" t="s">
        <v>206</v>
      </c>
      <c r="T38" s="74" t="s">
        <v>225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B20:B21"/>
    <mergeCell ref="C20:C21"/>
    <mergeCell ref="D21:E21"/>
    <mergeCell ref="D30:E30"/>
    <mergeCell ref="C4:C9"/>
    <mergeCell ref="D4:D9"/>
    <mergeCell ref="F17:J17"/>
    <mergeCell ref="F12:J12"/>
    <mergeCell ref="F13:J13"/>
    <mergeCell ref="F14:J14"/>
    <mergeCell ref="F15:M15"/>
    <mergeCell ref="F16:J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152</v>
      </c>
      <c r="D1" s="69"/>
      <c r="E1" s="155"/>
      <c r="F1" s="87"/>
      <c r="J1" s="164" t="s">
        <v>153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154</v>
      </c>
      <c r="B3" s="203"/>
      <c r="C3" s="203"/>
      <c r="D3" s="172"/>
      <c r="E3" s="173"/>
      <c r="F3" s="174" t="s">
        <v>155</v>
      </c>
      <c r="G3" s="174" t="s">
        <v>156</v>
      </c>
      <c r="H3" s="175"/>
      <c r="I3" s="175"/>
      <c r="J3" s="176" t="s">
        <v>157</v>
      </c>
      <c r="K3" s="176" t="s">
        <v>158</v>
      </c>
      <c r="L3" s="177"/>
      <c r="M3" s="178" t="s">
        <v>159</v>
      </c>
    </row>
    <row r="4" spans="1:14">
      <c r="A4" s="159" t="s">
        <v>23</v>
      </c>
      <c r="D4" s="246" t="s">
        <v>57</v>
      </c>
      <c r="E4" s="248">
        <f>SUMPRODUCT(F4:F9, J4:J9)</f>
        <v>53.968672586474355</v>
      </c>
      <c r="F4" s="212">
        <v>6</v>
      </c>
      <c r="G4" s="119">
        <f t="shared" ref="G4:G9" si="0">$K$1*F4</f>
        <v>30</v>
      </c>
      <c r="I4" t="s">
        <v>160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123</v>
      </c>
      <c r="D5" s="246"/>
      <c r="E5" s="248"/>
      <c r="F5" s="212">
        <v>7.0000219999999969</v>
      </c>
      <c r="G5" s="119">
        <f t="shared" si="0"/>
        <v>35.000109999999985</v>
      </c>
      <c r="I5" t="s">
        <v>161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38</v>
      </c>
      <c r="D6" s="246"/>
      <c r="E6" s="248"/>
      <c r="F6" s="212">
        <v>5</v>
      </c>
      <c r="G6" s="119">
        <f t="shared" si="0"/>
        <v>25</v>
      </c>
      <c r="I6" t="s">
        <v>162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72</v>
      </c>
      <c r="D7" s="246"/>
      <c r="E7" s="248"/>
      <c r="F7" s="212">
        <v>6</v>
      </c>
      <c r="G7" s="119">
        <f t="shared" si="0"/>
        <v>30</v>
      </c>
      <c r="I7" t="s">
        <v>163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73</v>
      </c>
      <c r="D8" s="246"/>
      <c r="E8" s="248"/>
      <c r="F8" s="212">
        <v>0</v>
      </c>
      <c r="G8" s="119">
        <f t="shared" si="0"/>
        <v>0</v>
      </c>
      <c r="I8" t="s">
        <v>164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74</v>
      </c>
      <c r="D9" s="247"/>
      <c r="E9" s="249"/>
      <c r="F9" s="167">
        <v>6</v>
      </c>
      <c r="G9" s="168">
        <f t="shared" si="0"/>
        <v>30</v>
      </c>
      <c r="H9" s="169"/>
      <c r="I9" s="169" t="s">
        <v>165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75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76</v>
      </c>
    </row>
    <row r="12" spans="1:14" ht="21">
      <c r="A12" s="159" t="s">
        <v>27</v>
      </c>
      <c r="G12" s="250" t="s">
        <v>307</v>
      </c>
      <c r="H12" s="250"/>
      <c r="I12" s="250"/>
      <c r="J12" s="250"/>
      <c r="K12" s="250"/>
    </row>
    <row r="13" spans="1:14" ht="19">
      <c r="A13" s="160" t="s">
        <v>59</v>
      </c>
      <c r="G13" s="241" t="s">
        <v>167</v>
      </c>
      <c r="H13" s="241"/>
      <c r="I13" s="241"/>
      <c r="J13" s="241"/>
      <c r="K13" s="241"/>
      <c r="L13" s="159"/>
      <c r="M13" s="159"/>
      <c r="N13" s="159"/>
    </row>
    <row r="14" spans="1:14" ht="19">
      <c r="A14" s="160" t="s">
        <v>60</v>
      </c>
      <c r="G14" s="241" t="s">
        <v>168</v>
      </c>
      <c r="H14" s="241"/>
      <c r="I14" s="241"/>
      <c r="J14" s="241"/>
      <c r="K14" s="241"/>
      <c r="L14" s="159"/>
      <c r="M14" s="159"/>
      <c r="N14" s="159"/>
    </row>
    <row r="15" spans="1:14" ht="19">
      <c r="A15" s="160" t="s">
        <v>64</v>
      </c>
      <c r="G15" s="241" t="s">
        <v>169</v>
      </c>
      <c r="H15" s="241"/>
      <c r="I15" s="241"/>
      <c r="J15" s="241"/>
      <c r="K15" s="241"/>
      <c r="L15" s="241"/>
      <c r="M15" s="241"/>
      <c r="N15" s="241"/>
    </row>
    <row r="16" spans="1:14" ht="19">
      <c r="A16" s="160" t="s">
        <v>38</v>
      </c>
      <c r="G16" s="241" t="s">
        <v>170</v>
      </c>
      <c r="H16" s="241"/>
      <c r="I16" s="241"/>
      <c r="J16" s="241"/>
      <c r="K16" s="241"/>
      <c r="L16" s="159"/>
      <c r="M16" s="159"/>
      <c r="N16" s="159"/>
    </row>
    <row r="17" spans="1:42" ht="19">
      <c r="A17" s="160" t="s">
        <v>69</v>
      </c>
      <c r="G17" s="241" t="s">
        <v>171</v>
      </c>
      <c r="H17" s="241"/>
      <c r="I17" s="241"/>
      <c r="J17" s="241"/>
      <c r="K17" s="241"/>
      <c r="L17" s="159"/>
      <c r="M17" s="159"/>
      <c r="N17" s="159"/>
    </row>
    <row r="18" spans="1:42">
      <c r="A18" s="160" t="s">
        <v>70</v>
      </c>
    </row>
    <row r="19" spans="1:42" ht="42" customHeight="1">
      <c r="A19" s="160" t="s">
        <v>121</v>
      </c>
      <c r="F19" t="s">
        <v>172</v>
      </c>
      <c r="J19" s="119" t="s">
        <v>173</v>
      </c>
      <c r="K19" s="119"/>
      <c r="L19" s="119"/>
      <c r="M19" s="119"/>
      <c r="N19" s="119"/>
      <c r="O19" s="119"/>
      <c r="P19" s="119"/>
      <c r="Q19" s="119"/>
      <c r="V19" s="119" t="s">
        <v>174</v>
      </c>
      <c r="W19" s="119"/>
      <c r="AA19" s="119" t="s">
        <v>175</v>
      </c>
      <c r="AB19" s="119"/>
      <c r="AC19" s="119"/>
      <c r="AD19" s="119"/>
      <c r="AE19" s="119"/>
      <c r="AF19" s="119"/>
      <c r="AG19" s="119"/>
      <c r="AH19" s="119" t="s">
        <v>176</v>
      </c>
      <c r="AJ19" s="119"/>
      <c r="AK19" s="119"/>
      <c r="AL19" s="119"/>
      <c r="AM19" s="119"/>
      <c r="AN19" s="119" t="s">
        <v>177</v>
      </c>
      <c r="AO19" s="119"/>
    </row>
    <row r="20" spans="1:42" ht="32" customHeight="1" thickBot="1">
      <c r="A20" s="160" t="s">
        <v>32</v>
      </c>
      <c r="B20" s="243" t="s">
        <v>178</v>
      </c>
      <c r="C20" s="243" t="s">
        <v>179</v>
      </c>
      <c r="F20" s="71" t="s">
        <v>123</v>
      </c>
      <c r="G20" s="71" t="s">
        <v>308</v>
      </c>
      <c r="H20" s="71" t="s">
        <v>309</v>
      </c>
      <c r="I20" s="71" t="s">
        <v>33</v>
      </c>
      <c r="J20" s="71" t="s">
        <v>310</v>
      </c>
      <c r="K20" s="71" t="s">
        <v>64</v>
      </c>
      <c r="L20" s="71" t="s">
        <v>311</v>
      </c>
      <c r="M20" s="71" t="s">
        <v>69</v>
      </c>
      <c r="N20" s="71" t="s">
        <v>70</v>
      </c>
      <c r="O20" s="71" t="s">
        <v>121</v>
      </c>
      <c r="P20" s="71" t="s">
        <v>312</v>
      </c>
      <c r="Q20" s="71" t="s">
        <v>79</v>
      </c>
      <c r="R20" s="71" t="s">
        <v>313</v>
      </c>
      <c r="S20" s="71" t="s">
        <v>314</v>
      </c>
      <c r="T20" s="71" t="s">
        <v>41</v>
      </c>
      <c r="U20" s="71" t="s">
        <v>97</v>
      </c>
      <c r="V20" s="71" t="s">
        <v>63</v>
      </c>
      <c r="W20" s="71" t="s">
        <v>315</v>
      </c>
      <c r="X20" s="71" t="s">
        <v>99</v>
      </c>
      <c r="Y20" s="71" t="s">
        <v>98</v>
      </c>
      <c r="Z20" s="71" t="s">
        <v>40</v>
      </c>
      <c r="AA20" s="71" t="s">
        <v>43</v>
      </c>
      <c r="AB20" s="71" t="s">
        <v>316</v>
      </c>
      <c r="AC20" s="71" t="s">
        <v>317</v>
      </c>
      <c r="AD20" s="71" t="s">
        <v>67</v>
      </c>
      <c r="AE20" s="71" t="s">
        <v>318</v>
      </c>
      <c r="AF20" s="71" t="s">
        <v>46</v>
      </c>
      <c r="AG20" s="71" t="s">
        <v>62</v>
      </c>
      <c r="AH20" s="71" t="s">
        <v>120</v>
      </c>
      <c r="AI20" s="71" t="s">
        <v>110</v>
      </c>
      <c r="AJ20" s="71" t="s">
        <v>58</v>
      </c>
      <c r="AK20" s="71" t="s">
        <v>319</v>
      </c>
      <c r="AL20" s="71" t="s">
        <v>140</v>
      </c>
      <c r="AM20" s="71" t="s">
        <v>118</v>
      </c>
      <c r="AN20" s="71" t="s">
        <v>55</v>
      </c>
      <c r="AO20" s="71" t="s">
        <v>136</v>
      </c>
      <c r="AP20" s="71" t="s">
        <v>54</v>
      </c>
    </row>
    <row r="21" spans="1:42" ht="21" thickTop="1" thickBot="1">
      <c r="A21" s="160" t="s">
        <v>82</v>
      </c>
      <c r="B21" s="243"/>
      <c r="C21" s="243"/>
      <c r="D21" s="244" t="s">
        <v>57</v>
      </c>
      <c r="E21" s="245"/>
    </row>
    <row r="22" spans="1:42" ht="87" thickTop="1" thickBot="1">
      <c r="A22" s="160" t="s">
        <v>33</v>
      </c>
      <c r="D22" s="195" t="s">
        <v>320</v>
      </c>
      <c r="E22" s="194" t="s">
        <v>321</v>
      </c>
    </row>
    <row r="23" spans="1:42" ht="35" thickBot="1">
      <c r="A23" s="160" t="s">
        <v>79</v>
      </c>
      <c r="D23" s="195" t="s">
        <v>202</v>
      </c>
      <c r="E23" s="194" t="s">
        <v>322</v>
      </c>
    </row>
    <row r="24" spans="1:42" ht="52" thickBot="1">
      <c r="A24" s="160" t="s">
        <v>80</v>
      </c>
      <c r="B24" s="74" t="s">
        <v>323</v>
      </c>
      <c r="D24" s="195" t="s">
        <v>211</v>
      </c>
      <c r="E24" s="194" t="s">
        <v>324</v>
      </c>
    </row>
    <row r="25" spans="1:42" ht="86" thickBot="1">
      <c r="A25" s="160" t="s">
        <v>125</v>
      </c>
      <c r="D25" s="195" t="s">
        <v>226</v>
      </c>
      <c r="E25" s="194" t="s">
        <v>325</v>
      </c>
    </row>
    <row r="26" spans="1:42" ht="120" thickBot="1">
      <c r="A26" s="160" t="s">
        <v>83</v>
      </c>
      <c r="D26" s="195" t="s">
        <v>231</v>
      </c>
      <c r="E26" s="194" t="s">
        <v>326</v>
      </c>
    </row>
    <row r="27" spans="1:42" ht="90" customHeight="1">
      <c r="A27" s="159" t="s">
        <v>34</v>
      </c>
      <c r="D27" s="197" t="s">
        <v>240</v>
      </c>
      <c r="E27" s="196" t="s">
        <v>241</v>
      </c>
    </row>
    <row r="28" spans="1:42" ht="48" customHeight="1" thickBot="1">
      <c r="A28" s="160" t="s">
        <v>63</v>
      </c>
      <c r="D28" s="195" t="s">
        <v>218</v>
      </c>
      <c r="E28" s="194" t="s">
        <v>219</v>
      </c>
    </row>
    <row r="29" spans="1:42" ht="22" customHeight="1" thickTop="1" thickBot="1">
      <c r="A29" s="160" t="s">
        <v>97</v>
      </c>
      <c r="D29" s="244" t="s">
        <v>57</v>
      </c>
      <c r="E29" s="245"/>
    </row>
    <row r="30" spans="1:42" ht="53" thickTop="1" thickBot="1">
      <c r="A30" s="160" t="s">
        <v>71</v>
      </c>
      <c r="D30" s="195" t="s">
        <v>248</v>
      </c>
      <c r="E30" s="194" t="s">
        <v>327</v>
      </c>
    </row>
    <row r="31" spans="1:42" ht="35" thickBot="1">
      <c r="A31" s="160" t="s">
        <v>40</v>
      </c>
      <c r="D31" s="195" t="s">
        <v>257</v>
      </c>
      <c r="E31" s="194" t="s">
        <v>206</v>
      </c>
    </row>
    <row r="32" spans="1:42" ht="35" thickBot="1">
      <c r="A32" s="160" t="s">
        <v>99</v>
      </c>
      <c r="C32" s="74" t="s">
        <v>328</v>
      </c>
      <c r="D32" s="195" t="s">
        <v>263</v>
      </c>
      <c r="E32" s="194" t="s">
        <v>329</v>
      </c>
    </row>
    <row r="33" spans="1:43" ht="69" thickBot="1">
      <c r="A33" s="160" t="s">
        <v>41</v>
      </c>
      <c r="D33" s="195" t="s">
        <v>270</v>
      </c>
      <c r="E33" s="194" t="s">
        <v>330</v>
      </c>
    </row>
    <row r="34" spans="1:43" ht="85">
      <c r="A34" s="160" t="s">
        <v>98</v>
      </c>
      <c r="C34" s="74" t="s">
        <v>328</v>
      </c>
      <c r="D34" s="197" t="s">
        <v>295</v>
      </c>
      <c r="E34" s="196" t="s">
        <v>331</v>
      </c>
    </row>
    <row r="35" spans="1:43" ht="51">
      <c r="A35" s="160" t="s">
        <v>68</v>
      </c>
      <c r="B35" s="74" t="s">
        <v>332</v>
      </c>
      <c r="D35" s="197" t="s">
        <v>333</v>
      </c>
      <c r="E35" s="197" t="s">
        <v>334</v>
      </c>
      <c r="F35" s="74" t="s">
        <v>335</v>
      </c>
      <c r="G35" s="200" t="s">
        <v>336</v>
      </c>
      <c r="H35" s="74" t="s">
        <v>337</v>
      </c>
      <c r="I35" s="74" t="s">
        <v>338</v>
      </c>
      <c r="J35" s="74" t="s">
        <v>339</v>
      </c>
      <c r="K35" s="74" t="s">
        <v>335</v>
      </c>
      <c r="L35" s="74" t="s">
        <v>340</v>
      </c>
      <c r="M35" s="74" t="s">
        <v>335</v>
      </c>
      <c r="N35" s="74" t="s">
        <v>335</v>
      </c>
      <c r="O35" s="74" t="s">
        <v>282</v>
      </c>
      <c r="P35" s="74" t="s">
        <v>341</v>
      </c>
      <c r="Q35" s="200" t="s">
        <v>342</v>
      </c>
      <c r="R35" s="74" t="s">
        <v>335</v>
      </c>
      <c r="S35" s="74" t="s">
        <v>335</v>
      </c>
      <c r="T35" s="74" t="s">
        <v>343</v>
      </c>
      <c r="U35" s="74" t="s">
        <v>344</v>
      </c>
      <c r="V35" s="200" t="s">
        <v>345</v>
      </c>
      <c r="W35" s="74" t="s">
        <v>335</v>
      </c>
      <c r="X35" s="74" t="s">
        <v>335</v>
      </c>
      <c r="Y35" s="74" t="s">
        <v>335</v>
      </c>
      <c r="Z35" s="74" t="s">
        <v>346</v>
      </c>
      <c r="AA35" s="74" t="s">
        <v>335</v>
      </c>
      <c r="AB35" s="74" t="s">
        <v>335</v>
      </c>
      <c r="AC35" s="74" t="s">
        <v>335</v>
      </c>
      <c r="AD35" s="74" t="s">
        <v>347</v>
      </c>
      <c r="AE35" s="74" t="s">
        <v>348</v>
      </c>
      <c r="AF35" s="74" t="s">
        <v>335</v>
      </c>
      <c r="AG35" s="74" t="s">
        <v>349</v>
      </c>
      <c r="AH35" s="74" t="s">
        <v>345</v>
      </c>
      <c r="AI35" s="74" t="s">
        <v>345</v>
      </c>
      <c r="AJ35" s="74" t="s">
        <v>335</v>
      </c>
      <c r="AK35" s="74" t="s">
        <v>335</v>
      </c>
      <c r="AL35" s="74" t="s">
        <v>345</v>
      </c>
      <c r="AM35" s="74" t="s">
        <v>345</v>
      </c>
      <c r="AN35" s="74" t="s">
        <v>345</v>
      </c>
      <c r="AO35" s="74" t="s">
        <v>345</v>
      </c>
      <c r="AP35" s="74" t="s">
        <v>345</v>
      </c>
      <c r="AQ35" s="74" t="s">
        <v>345</v>
      </c>
    </row>
    <row r="36" spans="1:43">
      <c r="A36" s="160" t="s">
        <v>39</v>
      </c>
    </row>
    <row r="37" spans="1:43">
      <c r="A37" s="159" t="s">
        <v>190</v>
      </c>
    </row>
    <row r="38" spans="1:43">
      <c r="A38" s="160" t="s">
        <v>43</v>
      </c>
    </row>
    <row r="39" spans="1:43">
      <c r="A39" s="160" t="s">
        <v>44</v>
      </c>
    </row>
    <row r="40" spans="1:43">
      <c r="A40" s="160" t="s">
        <v>67</v>
      </c>
    </row>
    <row r="41" spans="1:43">
      <c r="A41" s="160" t="s">
        <v>45</v>
      </c>
    </row>
    <row r="42" spans="1:43">
      <c r="A42" s="160" t="s">
        <v>46</v>
      </c>
    </row>
    <row r="43" spans="1:43">
      <c r="A43" s="160" t="s">
        <v>107</v>
      </c>
    </row>
    <row r="44" spans="1:43">
      <c r="A44" s="160" t="s">
        <v>106</v>
      </c>
    </row>
    <row r="45" spans="1:43">
      <c r="A45" s="159" t="s">
        <v>51</v>
      </c>
    </row>
    <row r="46" spans="1:43">
      <c r="A46" s="160" t="s">
        <v>58</v>
      </c>
    </row>
    <row r="47" spans="1:43">
      <c r="A47" s="160" t="s">
        <v>61</v>
      </c>
    </row>
    <row r="48" spans="1:43">
      <c r="A48" s="160" t="s">
        <v>62</v>
      </c>
    </row>
    <row r="49" spans="1:1">
      <c r="A49" s="160" t="s">
        <v>123</v>
      </c>
    </row>
    <row r="50" spans="1:1">
      <c r="A50" s="160" t="s">
        <v>65</v>
      </c>
    </row>
    <row r="51" spans="1:1">
      <c r="A51" s="160" t="s">
        <v>118</v>
      </c>
    </row>
    <row r="52" spans="1:1">
      <c r="A52" s="160" t="s">
        <v>120</v>
      </c>
    </row>
    <row r="53" spans="1:1">
      <c r="A53" s="160" t="s">
        <v>40</v>
      </c>
    </row>
    <row r="54" spans="1:1">
      <c r="A54" s="160" t="s">
        <v>77</v>
      </c>
    </row>
    <row r="55" spans="1:1">
      <c r="A55" s="160" t="s">
        <v>124</v>
      </c>
    </row>
    <row r="56" spans="1:1">
      <c r="A56" s="160" t="s">
        <v>122</v>
      </c>
    </row>
    <row r="57" spans="1:1">
      <c r="A57" s="159" t="s">
        <v>53</v>
      </c>
    </row>
    <row r="58" spans="1:1">
      <c r="A58" s="160" t="s">
        <v>55</v>
      </c>
    </row>
    <row r="59" spans="1:1">
      <c r="A59" s="160" t="s">
        <v>66</v>
      </c>
    </row>
    <row r="60" spans="1:1">
      <c r="A60" s="160" t="s">
        <v>140</v>
      </c>
    </row>
    <row r="61" spans="1:1">
      <c r="A61" s="160" t="s">
        <v>135</v>
      </c>
    </row>
    <row r="62" spans="1:1">
      <c r="A62" s="160" t="s">
        <v>136</v>
      </c>
    </row>
    <row r="63" spans="1:1">
      <c r="A63" s="160" t="s">
        <v>137</v>
      </c>
    </row>
    <row r="64" spans="1:1">
      <c r="A64" s="160" t="s">
        <v>144</v>
      </c>
    </row>
    <row r="65" spans="1:1">
      <c r="A65" s="160" t="s">
        <v>134</v>
      </c>
    </row>
    <row r="66" spans="1:1">
      <c r="A66" s="159" t="s">
        <v>350</v>
      </c>
    </row>
    <row r="67" spans="1:1">
      <c r="A67" s="160" t="s">
        <v>97</v>
      </c>
    </row>
    <row r="68" spans="1:1">
      <c r="A68" s="159" t="s">
        <v>277</v>
      </c>
    </row>
  </sheetData>
  <mergeCells count="12">
    <mergeCell ref="D29:E29"/>
    <mergeCell ref="D21:E21"/>
    <mergeCell ref="B20:B21"/>
    <mergeCell ref="C20:C21"/>
    <mergeCell ref="D4:D9"/>
    <mergeCell ref="E4:E9"/>
    <mergeCell ref="G12:K12"/>
    <mergeCell ref="G14:K14"/>
    <mergeCell ref="G15:N15"/>
    <mergeCell ref="G16:K16"/>
    <mergeCell ref="G17:K17"/>
    <mergeCell ref="G13:K13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152</v>
      </c>
      <c r="D1" s="69"/>
      <c r="E1" s="155"/>
      <c r="F1" s="87"/>
      <c r="J1" s="164" t="s">
        <v>153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154</v>
      </c>
      <c r="B3" s="203"/>
      <c r="C3" s="203"/>
      <c r="D3" s="199"/>
      <c r="E3" s="173"/>
      <c r="F3" s="174" t="s">
        <v>155</v>
      </c>
      <c r="G3" s="174" t="s">
        <v>156</v>
      </c>
      <c r="H3" s="175"/>
      <c r="I3" s="175"/>
      <c r="J3" s="176" t="s">
        <v>157</v>
      </c>
      <c r="K3" s="176" t="s">
        <v>158</v>
      </c>
      <c r="L3" s="176"/>
      <c r="M3" s="176"/>
      <c r="N3" s="177"/>
      <c r="O3" s="178" t="s">
        <v>159</v>
      </c>
    </row>
    <row r="4" spans="1:31" ht="17" thickTop="1">
      <c r="A4" s="159" t="s">
        <v>23</v>
      </c>
      <c r="D4" s="246" t="s">
        <v>126</v>
      </c>
      <c r="E4" s="248">
        <f>SUMPRODUCT(J4:J9, F4:F9)</f>
        <v>34.552586765086765</v>
      </c>
      <c r="F4" s="212">
        <v>3</v>
      </c>
      <c r="G4" s="119">
        <f t="shared" ref="G4:G9" si="0">$K$1*F4</f>
        <v>150</v>
      </c>
      <c r="I4" t="s">
        <v>160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49</v>
      </c>
      <c r="D5" s="246"/>
      <c r="E5" s="248"/>
      <c r="F5" s="212">
        <v>10</v>
      </c>
      <c r="G5" s="119">
        <f t="shared" si="0"/>
        <v>500</v>
      </c>
      <c r="I5" t="s">
        <v>161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351</v>
      </c>
      <c r="D6" s="246"/>
      <c r="E6" s="248"/>
      <c r="F6" s="212">
        <v>3</v>
      </c>
      <c r="G6" s="119">
        <f t="shared" si="0"/>
        <v>150</v>
      </c>
      <c r="I6" t="s">
        <v>162</v>
      </c>
      <c r="J6" s="80">
        <f>AVERAGEIFS('Master Variety List'!E:E, 'Master Variety List'!A:A, "*Summer*", 'Master Variety List'!B:B, "*Filler*")</f>
        <v>1.4024999999999999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38</v>
      </c>
      <c r="D7" s="246"/>
      <c r="E7" s="248"/>
      <c r="F7" s="212">
        <v>3</v>
      </c>
      <c r="G7" s="119">
        <f t="shared" si="0"/>
        <v>150</v>
      </c>
      <c r="I7" t="s">
        <v>352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50</v>
      </c>
      <c r="D8" s="246"/>
      <c r="E8" s="248"/>
      <c r="F8" s="212">
        <v>1</v>
      </c>
      <c r="G8" s="119">
        <f t="shared" si="0"/>
        <v>50</v>
      </c>
      <c r="I8" t="s">
        <v>164</v>
      </c>
      <c r="J8" s="80">
        <f>AVERAGEIFS('Master Variety List'!E:E, 'Master Variety List'!A:A, "*Summer*", 'Master Variety List'!B:B, "*Finisher*")</f>
        <v>1.4575000000000002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56</v>
      </c>
      <c r="D9" s="247"/>
      <c r="E9" s="249"/>
      <c r="F9" s="167">
        <v>3</v>
      </c>
      <c r="G9" s="168">
        <f t="shared" si="0"/>
        <v>150</v>
      </c>
      <c r="H9" s="169"/>
      <c r="I9" s="169" t="s">
        <v>165</v>
      </c>
      <c r="J9" s="170">
        <f>AVERAGEIFS('Master Variety List'!E:E, 'Master Variety List'!A:A, "*Summer*", 'Master Variety List'!B:B, "*Foliage*")</f>
        <v>1.3931818181818183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84</v>
      </c>
    </row>
    <row r="12" spans="1:31" ht="21">
      <c r="A12" s="160" t="s">
        <v>85</v>
      </c>
      <c r="G12" s="251" t="s">
        <v>353</v>
      </c>
      <c r="H12" s="251"/>
      <c r="I12" s="251"/>
      <c r="J12" s="251"/>
      <c r="K12" s="251"/>
      <c r="L12" s="211"/>
      <c r="M12" s="211"/>
    </row>
    <row r="13" spans="1:31" ht="19">
      <c r="A13" s="160" t="s">
        <v>86</v>
      </c>
      <c r="G13" s="241" t="s">
        <v>167</v>
      </c>
      <c r="H13" s="241"/>
      <c r="I13" s="241"/>
      <c r="J13" s="241"/>
      <c r="K13" s="241"/>
      <c r="L13" s="210"/>
      <c r="M13" s="210"/>
      <c r="N13" s="159"/>
      <c r="O13" s="159"/>
      <c r="P13" s="159"/>
    </row>
    <row r="14" spans="1:31" ht="19">
      <c r="A14" s="160" t="s">
        <v>87</v>
      </c>
      <c r="G14" s="241" t="s">
        <v>168</v>
      </c>
      <c r="H14" s="241"/>
      <c r="I14" s="241"/>
      <c r="J14" s="241"/>
      <c r="K14" s="241"/>
      <c r="L14" s="210"/>
      <c r="M14" s="210"/>
      <c r="N14" s="159"/>
      <c r="O14" s="159"/>
      <c r="P14" s="159"/>
    </row>
    <row r="15" spans="1:31" ht="19">
      <c r="A15" s="160" t="s">
        <v>38</v>
      </c>
      <c r="G15" s="241" t="s">
        <v>169</v>
      </c>
      <c r="H15" s="241"/>
      <c r="I15" s="241"/>
      <c r="J15" s="241"/>
      <c r="K15" s="241"/>
      <c r="L15" s="241"/>
      <c r="M15" s="241"/>
      <c r="N15" s="241"/>
      <c r="O15" s="241"/>
      <c r="P15" s="241"/>
    </row>
    <row r="16" spans="1:31" ht="19">
      <c r="A16" s="160" t="s">
        <v>88</v>
      </c>
      <c r="G16" s="241" t="s">
        <v>170</v>
      </c>
      <c r="H16" s="241"/>
      <c r="I16" s="241"/>
      <c r="J16" s="241"/>
      <c r="K16" s="241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121</v>
      </c>
      <c r="G17" s="241" t="s">
        <v>171</v>
      </c>
      <c r="H17" s="241"/>
      <c r="I17" s="241"/>
      <c r="J17" s="241"/>
      <c r="K17" s="241"/>
      <c r="L17" s="210"/>
      <c r="M17" s="210" t="s">
        <v>354</v>
      </c>
      <c r="N17" s="159" t="s">
        <v>355</v>
      </c>
      <c r="O17" s="159"/>
      <c r="P17" s="159" t="s">
        <v>356</v>
      </c>
    </row>
    <row r="18" spans="1:43">
      <c r="A18" s="160" t="s">
        <v>82</v>
      </c>
      <c r="M18" t="s">
        <v>357</v>
      </c>
      <c r="N18" t="s">
        <v>358</v>
      </c>
      <c r="P18" t="s">
        <v>359</v>
      </c>
    </row>
    <row r="19" spans="1:43">
      <c r="A19" s="160" t="s">
        <v>79</v>
      </c>
      <c r="M19" t="s">
        <v>360</v>
      </c>
      <c r="N19" t="s">
        <v>361</v>
      </c>
      <c r="P19" t="s">
        <v>362</v>
      </c>
    </row>
    <row r="20" spans="1:43">
      <c r="A20" s="160" t="s">
        <v>80</v>
      </c>
      <c r="F20" t="s">
        <v>172</v>
      </c>
      <c r="J20" s="119" t="s">
        <v>173</v>
      </c>
      <c r="K20" s="119"/>
      <c r="L20" s="119"/>
      <c r="M20" s="119"/>
      <c r="N20" s="119"/>
      <c r="O20" s="119"/>
      <c r="P20" s="119"/>
      <c r="Q20" s="119"/>
      <c r="V20" s="119" t="s">
        <v>174</v>
      </c>
      <c r="W20" s="119"/>
      <c r="AA20" s="119" t="s">
        <v>175</v>
      </c>
      <c r="AB20" s="119"/>
      <c r="AC20" s="119"/>
      <c r="AD20" s="119"/>
      <c r="AE20" s="119"/>
      <c r="AF20" s="119"/>
      <c r="AG20" s="119" t="s">
        <v>176</v>
      </c>
      <c r="AI20" s="119"/>
      <c r="AJ20" s="119"/>
      <c r="AK20" s="119"/>
      <c r="AL20" s="119"/>
      <c r="AM20" s="119" t="s">
        <v>177</v>
      </c>
      <c r="AN20" s="119"/>
    </row>
    <row r="21" spans="1:43" ht="37" customHeight="1" thickBot="1">
      <c r="A21" s="160" t="s">
        <v>125</v>
      </c>
      <c r="B21" s="243" t="s">
        <v>178</v>
      </c>
      <c r="C21" s="243" t="s">
        <v>179</v>
      </c>
      <c r="F21" s="87" t="s">
        <v>123</v>
      </c>
      <c r="G21" s="87" t="s">
        <v>363</v>
      </c>
      <c r="H21" s="87" t="s">
        <v>56</v>
      </c>
      <c r="I21" s="87" t="s">
        <v>364</v>
      </c>
      <c r="J21" s="87" t="s">
        <v>91</v>
      </c>
      <c r="K21" s="87" t="s">
        <v>365</v>
      </c>
      <c r="L21" s="87" t="s">
        <v>366</v>
      </c>
      <c r="M21" s="87" t="s">
        <v>87</v>
      </c>
      <c r="N21" s="87" t="s">
        <v>88</v>
      </c>
      <c r="O21" s="87" t="s">
        <v>121</v>
      </c>
      <c r="P21" s="87" t="s">
        <v>79</v>
      </c>
      <c r="Q21" s="87" t="s">
        <v>313</v>
      </c>
      <c r="R21" s="87" t="s">
        <v>314</v>
      </c>
      <c r="S21" s="87" t="s">
        <v>90</v>
      </c>
      <c r="T21" s="87" t="s">
        <v>89</v>
      </c>
      <c r="U21" s="87" t="s">
        <v>367</v>
      </c>
      <c r="V21" s="87" t="s">
        <v>97</v>
      </c>
      <c r="W21" s="87" t="s">
        <v>100</v>
      </c>
      <c r="X21" s="119" t="s">
        <v>368</v>
      </c>
      <c r="Y21" s="87" t="s">
        <v>99</v>
      </c>
      <c r="Z21" s="87" t="s">
        <v>98</v>
      </c>
      <c r="AA21" s="87" t="s">
        <v>108</v>
      </c>
      <c r="AB21" s="87" t="s">
        <v>109</v>
      </c>
      <c r="AC21" s="87" t="s">
        <v>111</v>
      </c>
      <c r="AD21" s="87" t="s">
        <v>317</v>
      </c>
      <c r="AE21" s="87" t="s">
        <v>106</v>
      </c>
      <c r="AF21" s="87" t="s">
        <v>113</v>
      </c>
      <c r="AG21" s="87" t="s">
        <v>128</v>
      </c>
      <c r="AH21" s="87" t="s">
        <v>120</v>
      </c>
      <c r="AI21" s="87" t="s">
        <v>110</v>
      </c>
      <c r="AJ21" s="87" t="s">
        <v>369</v>
      </c>
      <c r="AK21" s="87" t="s">
        <v>370</v>
      </c>
      <c r="AL21" s="87" t="s">
        <v>140</v>
      </c>
      <c r="AM21" s="87" t="s">
        <v>141</v>
      </c>
      <c r="AN21" s="87" t="s">
        <v>135</v>
      </c>
      <c r="AO21" s="87" t="s">
        <v>136</v>
      </c>
      <c r="AP21" s="87" t="s">
        <v>139</v>
      </c>
    </row>
    <row r="22" spans="1:43" ht="25" customHeight="1" thickTop="1" thickBot="1">
      <c r="A22" s="160" t="s">
        <v>83</v>
      </c>
      <c r="B22" s="243"/>
      <c r="C22" s="243"/>
      <c r="D22" s="244" t="s">
        <v>371</v>
      </c>
      <c r="E22" s="245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90</v>
      </c>
      <c r="C23" s="74" t="s">
        <v>372</v>
      </c>
      <c r="D23" s="195" t="s">
        <v>218</v>
      </c>
      <c r="E23" s="194" t="s">
        <v>219</v>
      </c>
      <c r="F23" s="74" t="s">
        <v>335</v>
      </c>
      <c r="G23" s="74" t="s">
        <v>335</v>
      </c>
      <c r="H23" s="74" t="s">
        <v>373</v>
      </c>
      <c r="I23" s="74" t="s">
        <v>374</v>
      </c>
      <c r="J23" s="74" t="s">
        <v>335</v>
      </c>
      <c r="K23" s="74" t="s">
        <v>375</v>
      </c>
      <c r="L23" s="74" t="s">
        <v>376</v>
      </c>
      <c r="M23" s="74" t="s">
        <v>335</v>
      </c>
      <c r="N23" s="74" t="s">
        <v>377</v>
      </c>
      <c r="O23" s="74" t="s">
        <v>199</v>
      </c>
      <c r="P23" s="74" t="s">
        <v>335</v>
      </c>
      <c r="Q23" s="74" t="s">
        <v>335</v>
      </c>
      <c r="R23" s="74" t="s">
        <v>268</v>
      </c>
      <c r="S23" s="74" t="s">
        <v>268</v>
      </c>
      <c r="T23" s="74" t="s">
        <v>335</v>
      </c>
      <c r="U23" s="74" t="s">
        <v>335</v>
      </c>
      <c r="V23" s="74" t="s">
        <v>335</v>
      </c>
      <c r="W23" s="74" t="s">
        <v>335</v>
      </c>
      <c r="X23" s="74" t="s">
        <v>378</v>
      </c>
      <c r="Y23" s="74" t="s">
        <v>379</v>
      </c>
      <c r="Z23" s="74" t="s">
        <v>380</v>
      </c>
      <c r="AA23" s="74" t="s">
        <v>335</v>
      </c>
      <c r="AB23" s="74" t="s">
        <v>381</v>
      </c>
      <c r="AC23" s="74" t="s">
        <v>382</v>
      </c>
      <c r="AD23" s="74" t="s">
        <v>383</v>
      </c>
      <c r="AE23" s="74" t="s">
        <v>345</v>
      </c>
      <c r="AF23" s="74" t="s">
        <v>335</v>
      </c>
      <c r="AG23" s="74" t="s">
        <v>335</v>
      </c>
      <c r="AH23" s="74" t="s">
        <v>345</v>
      </c>
      <c r="AI23" s="74" t="s">
        <v>335</v>
      </c>
      <c r="AJ23" s="74" t="s">
        <v>345</v>
      </c>
      <c r="AK23" s="74" t="s">
        <v>335</v>
      </c>
      <c r="AL23" s="74" t="s">
        <v>345</v>
      </c>
      <c r="AM23" s="74" t="s">
        <v>345</v>
      </c>
      <c r="AN23" s="74" t="s">
        <v>345</v>
      </c>
      <c r="AO23" s="74" t="s">
        <v>345</v>
      </c>
      <c r="AP23" s="74" t="s">
        <v>345</v>
      </c>
    </row>
    <row r="24" spans="1:43" ht="86" thickBot="1">
      <c r="A24" s="160" t="s">
        <v>93</v>
      </c>
      <c r="D24" s="195" t="s">
        <v>384</v>
      </c>
      <c r="E24" s="194" t="s">
        <v>322</v>
      </c>
      <c r="F24" s="74" t="s">
        <v>196</v>
      </c>
      <c r="G24" s="74" t="s">
        <v>385</v>
      </c>
      <c r="H24" s="74" t="s">
        <v>386</v>
      </c>
      <c r="I24" s="74" t="s">
        <v>387</v>
      </c>
      <c r="J24" s="74" t="s">
        <v>388</v>
      </c>
      <c r="K24" s="74" t="s">
        <v>389</v>
      </c>
      <c r="L24" s="74" t="s">
        <v>335</v>
      </c>
      <c r="M24" s="74" t="s">
        <v>390</v>
      </c>
      <c r="N24" s="74" t="s">
        <v>391</v>
      </c>
      <c r="O24" s="74" t="s">
        <v>335</v>
      </c>
      <c r="P24" s="74" t="s">
        <v>392</v>
      </c>
      <c r="Q24" s="74" t="s">
        <v>196</v>
      </c>
      <c r="R24" s="74" t="s">
        <v>196</v>
      </c>
      <c r="S24" s="74" t="s">
        <v>335</v>
      </c>
      <c r="T24" s="74" t="s">
        <v>393</v>
      </c>
      <c r="U24" s="74" t="s">
        <v>345</v>
      </c>
      <c r="V24" s="74" t="s">
        <v>345</v>
      </c>
      <c r="W24" s="74" t="s">
        <v>394</v>
      </c>
      <c r="X24" s="74" t="s">
        <v>395</v>
      </c>
      <c r="Y24" s="74" t="s">
        <v>335</v>
      </c>
      <c r="Z24" s="74" t="s">
        <v>335</v>
      </c>
      <c r="AA24" s="74" t="s">
        <v>335</v>
      </c>
      <c r="AB24" s="74" t="s">
        <v>196</v>
      </c>
      <c r="AC24" s="74" t="s">
        <v>335</v>
      </c>
      <c r="AD24" s="74" t="s">
        <v>396</v>
      </c>
      <c r="AE24" s="74" t="s">
        <v>335</v>
      </c>
      <c r="AF24" s="74" t="s">
        <v>394</v>
      </c>
      <c r="AG24" s="74" t="s">
        <v>394</v>
      </c>
      <c r="AH24" s="74" t="s">
        <v>345</v>
      </c>
      <c r="AI24" s="74" t="s">
        <v>345</v>
      </c>
      <c r="AJ24" s="74" t="s">
        <v>345</v>
      </c>
      <c r="AK24" s="74" t="s">
        <v>335</v>
      </c>
      <c r="AL24" s="74" t="s">
        <v>345</v>
      </c>
      <c r="AM24" s="74" t="s">
        <v>345</v>
      </c>
      <c r="AN24" s="74" t="s">
        <v>345</v>
      </c>
      <c r="AO24" s="74" t="s">
        <v>345</v>
      </c>
      <c r="AP24" s="69" t="s">
        <v>335</v>
      </c>
      <c r="AQ24" s="160"/>
    </row>
    <row r="25" spans="1:43" ht="69" thickBot="1">
      <c r="A25" s="160" t="s">
        <v>89</v>
      </c>
      <c r="D25" s="195" t="s">
        <v>226</v>
      </c>
      <c r="E25" s="194" t="s">
        <v>397</v>
      </c>
      <c r="F25" s="74" t="s">
        <v>335</v>
      </c>
      <c r="G25" s="74" t="s">
        <v>398</v>
      </c>
      <c r="H25" s="74" t="s">
        <v>399</v>
      </c>
      <c r="I25" s="74" t="s">
        <v>400</v>
      </c>
      <c r="J25" s="74" t="s">
        <v>398</v>
      </c>
      <c r="K25" s="74" t="s">
        <v>401</v>
      </c>
      <c r="L25" s="74" t="s">
        <v>402</v>
      </c>
      <c r="M25" s="74" t="s">
        <v>403</v>
      </c>
      <c r="N25" s="74" t="s">
        <v>404</v>
      </c>
      <c r="O25" s="74" t="s">
        <v>335</v>
      </c>
      <c r="P25" s="74" t="s">
        <v>335</v>
      </c>
      <c r="Q25" s="74" t="s">
        <v>335</v>
      </c>
      <c r="R25" s="74" t="s">
        <v>405</v>
      </c>
      <c r="S25" s="74" t="s">
        <v>406</v>
      </c>
      <c r="T25" s="74" t="s">
        <v>393</v>
      </c>
      <c r="U25" s="74" t="s">
        <v>345</v>
      </c>
      <c r="V25" s="74" t="s">
        <v>345</v>
      </c>
      <c r="W25" s="74" t="s">
        <v>394</v>
      </c>
      <c r="X25" s="74" t="s">
        <v>395</v>
      </c>
      <c r="Y25" s="74" t="s">
        <v>335</v>
      </c>
      <c r="Z25" s="74" t="s">
        <v>346</v>
      </c>
      <c r="AA25" s="74" t="s">
        <v>335</v>
      </c>
      <c r="AB25" s="74" t="s">
        <v>196</v>
      </c>
      <c r="AC25" s="74" t="s">
        <v>335</v>
      </c>
      <c r="AD25" s="74" t="s">
        <v>407</v>
      </c>
      <c r="AE25" s="74" t="s">
        <v>335</v>
      </c>
      <c r="AF25" s="74" t="s">
        <v>408</v>
      </c>
      <c r="AG25" s="74" t="s">
        <v>394</v>
      </c>
      <c r="AH25" s="74" t="s">
        <v>345</v>
      </c>
      <c r="AI25" s="74" t="s">
        <v>335</v>
      </c>
      <c r="AJ25" s="74" t="s">
        <v>345</v>
      </c>
      <c r="AK25" s="74" t="s">
        <v>345</v>
      </c>
      <c r="AL25" s="74" t="s">
        <v>345</v>
      </c>
      <c r="AM25" s="74" t="s">
        <v>345</v>
      </c>
      <c r="AN25" s="74" t="s">
        <v>345</v>
      </c>
      <c r="AO25" s="74" t="s">
        <v>345</v>
      </c>
      <c r="AP25" s="74" t="s">
        <v>345</v>
      </c>
      <c r="AQ25" s="160"/>
    </row>
    <row r="26" spans="1:43" ht="52" thickBot="1">
      <c r="A26" s="160" t="s">
        <v>92</v>
      </c>
      <c r="B26" s="74" t="s">
        <v>409</v>
      </c>
      <c r="D26" s="195" t="s">
        <v>231</v>
      </c>
      <c r="E26" s="194" t="s">
        <v>410</v>
      </c>
      <c r="F26" s="74" t="s">
        <v>411</v>
      </c>
      <c r="G26" s="74" t="s">
        <v>335</v>
      </c>
      <c r="H26" s="74" t="s">
        <v>412</v>
      </c>
      <c r="I26" s="74" t="s">
        <v>413</v>
      </c>
      <c r="K26" s="74" t="s">
        <v>414</v>
      </c>
      <c r="L26" s="74" t="s">
        <v>415</v>
      </c>
      <c r="M26" s="74" t="s">
        <v>416</v>
      </c>
      <c r="N26" s="74" t="s">
        <v>417</v>
      </c>
      <c r="O26" s="74" t="s">
        <v>418</v>
      </c>
      <c r="P26" s="74" t="s">
        <v>335</v>
      </c>
      <c r="Q26" s="74" t="s">
        <v>290</v>
      </c>
      <c r="R26" s="74" t="s">
        <v>419</v>
      </c>
      <c r="S26" s="74" t="s">
        <v>420</v>
      </c>
      <c r="T26" s="74" t="s">
        <v>335</v>
      </c>
      <c r="U26" s="74" t="s">
        <v>335</v>
      </c>
      <c r="V26" s="74" t="s">
        <v>345</v>
      </c>
      <c r="W26" s="74" t="s">
        <v>335</v>
      </c>
      <c r="X26" s="74" t="s">
        <v>421</v>
      </c>
      <c r="Y26" s="74" t="s">
        <v>422</v>
      </c>
      <c r="Z26" s="74" t="s">
        <v>383</v>
      </c>
      <c r="AA26" s="74" t="s">
        <v>345</v>
      </c>
      <c r="AB26" s="74" t="s">
        <v>335</v>
      </c>
      <c r="AC26" s="74" t="s">
        <v>335</v>
      </c>
      <c r="AD26" s="74" t="s">
        <v>290</v>
      </c>
      <c r="AE26" s="74" t="s">
        <v>335</v>
      </c>
      <c r="AF26" s="74" t="s">
        <v>423</v>
      </c>
      <c r="AG26" s="74" t="s">
        <v>335</v>
      </c>
      <c r="AH26" s="74" t="s">
        <v>345</v>
      </c>
      <c r="AI26" s="74" t="s">
        <v>335</v>
      </c>
      <c r="AJ26" s="74" t="s">
        <v>345</v>
      </c>
      <c r="AK26" s="74" t="s">
        <v>345</v>
      </c>
      <c r="AL26" s="74" t="s">
        <v>345</v>
      </c>
      <c r="AM26" s="74" t="s">
        <v>345</v>
      </c>
      <c r="AN26" s="74" t="s">
        <v>345</v>
      </c>
      <c r="AO26" s="74" t="s">
        <v>345</v>
      </c>
      <c r="AP26" s="74" t="s">
        <v>345</v>
      </c>
      <c r="AQ26" s="160"/>
    </row>
    <row r="27" spans="1:43" ht="35" thickBot="1">
      <c r="A27" s="159" t="s">
        <v>424</v>
      </c>
      <c r="B27" s="74" t="s">
        <v>425</v>
      </c>
      <c r="D27" s="195" t="s">
        <v>426</v>
      </c>
      <c r="E27" s="194" t="s">
        <v>427</v>
      </c>
      <c r="F27" s="74" t="s">
        <v>335</v>
      </c>
      <c r="G27" s="74" t="s">
        <v>335</v>
      </c>
      <c r="H27" s="74" t="s">
        <v>428</v>
      </c>
      <c r="I27" s="74" t="s">
        <v>429</v>
      </c>
      <c r="J27" s="74" t="s">
        <v>335</v>
      </c>
      <c r="K27" s="74" t="s">
        <v>430</v>
      </c>
      <c r="L27" s="74" t="s">
        <v>335</v>
      </c>
      <c r="M27" s="74" t="s">
        <v>335</v>
      </c>
      <c r="N27" s="74" t="s">
        <v>431</v>
      </c>
      <c r="O27" s="74" t="s">
        <v>335</v>
      </c>
      <c r="P27" s="74" t="s">
        <v>335</v>
      </c>
      <c r="Q27" s="74" t="s">
        <v>335</v>
      </c>
      <c r="R27" s="74" t="s">
        <v>432</v>
      </c>
      <c r="S27" s="74" t="s">
        <v>433</v>
      </c>
      <c r="T27" s="74" t="s">
        <v>434</v>
      </c>
      <c r="U27" s="74" t="s">
        <v>335</v>
      </c>
      <c r="V27" s="74" t="s">
        <v>335</v>
      </c>
      <c r="W27" s="74" t="s">
        <v>335</v>
      </c>
      <c r="X27" s="74" t="s">
        <v>433</v>
      </c>
      <c r="Y27" s="74" t="s">
        <v>311</v>
      </c>
      <c r="Z27" s="74" t="s">
        <v>433</v>
      </c>
      <c r="AA27" s="74" t="s">
        <v>335</v>
      </c>
      <c r="AB27" s="74" t="s">
        <v>381</v>
      </c>
      <c r="AC27" s="74" t="s">
        <v>335</v>
      </c>
      <c r="AD27" s="74" t="s">
        <v>433</v>
      </c>
      <c r="AE27" s="74" t="s">
        <v>335</v>
      </c>
      <c r="AF27" s="74" t="s">
        <v>335</v>
      </c>
      <c r="AG27" s="74" t="s">
        <v>435</v>
      </c>
      <c r="AH27" s="74" t="s">
        <v>345</v>
      </c>
      <c r="AI27" s="74" t="s">
        <v>335</v>
      </c>
      <c r="AJ27" s="74" t="s">
        <v>345</v>
      </c>
      <c r="AK27" s="74" t="s">
        <v>345</v>
      </c>
      <c r="AL27" s="74" t="s">
        <v>345</v>
      </c>
      <c r="AM27" s="74" t="s">
        <v>345</v>
      </c>
      <c r="AN27" s="74" t="s">
        <v>345</v>
      </c>
      <c r="AO27" s="74" t="s">
        <v>345</v>
      </c>
      <c r="AP27" s="74" t="s">
        <v>345</v>
      </c>
      <c r="AQ27" s="160"/>
    </row>
    <row r="28" spans="1:43" ht="21" thickTop="1" thickBot="1">
      <c r="A28" s="160" t="s">
        <v>91</v>
      </c>
      <c r="D28" s="244" t="s">
        <v>436</v>
      </c>
      <c r="E28" s="245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248</v>
      </c>
      <c r="E29" s="194" t="s">
        <v>437</v>
      </c>
      <c r="F29" s="74" t="s">
        <v>196</v>
      </c>
      <c r="G29" s="74" t="s">
        <v>438</v>
      </c>
      <c r="H29" s="74" t="s">
        <v>439</v>
      </c>
      <c r="I29" s="74" t="s">
        <v>440</v>
      </c>
      <c r="J29" s="74" t="s">
        <v>438</v>
      </c>
      <c r="K29" s="74" t="s">
        <v>441</v>
      </c>
      <c r="L29" s="74" t="s">
        <v>442</v>
      </c>
      <c r="M29" s="74" t="s">
        <v>443</v>
      </c>
      <c r="N29" s="74" t="s">
        <v>444</v>
      </c>
      <c r="O29" s="74" t="s">
        <v>282</v>
      </c>
      <c r="P29" s="74" t="s">
        <v>392</v>
      </c>
      <c r="Q29" s="74" t="s">
        <v>196</v>
      </c>
      <c r="R29" s="74" t="s">
        <v>273</v>
      </c>
      <c r="S29" s="74" t="s">
        <v>445</v>
      </c>
      <c r="T29" s="74" t="s">
        <v>438</v>
      </c>
      <c r="U29" s="74" t="s">
        <v>349</v>
      </c>
      <c r="V29" s="74" t="s">
        <v>345</v>
      </c>
      <c r="W29" s="74" t="s">
        <v>446</v>
      </c>
      <c r="X29" s="74" t="s">
        <v>395</v>
      </c>
      <c r="Y29" s="74" t="s">
        <v>335</v>
      </c>
      <c r="Z29" s="74" t="s">
        <v>433</v>
      </c>
      <c r="AA29" s="74" t="s">
        <v>335</v>
      </c>
      <c r="AB29" s="74" t="s">
        <v>196</v>
      </c>
      <c r="AC29" s="74" t="s">
        <v>447</v>
      </c>
      <c r="AD29" s="74" t="s">
        <v>448</v>
      </c>
      <c r="AE29" s="74" t="s">
        <v>335</v>
      </c>
      <c r="AF29" s="74" t="s">
        <v>441</v>
      </c>
      <c r="AG29" s="74" t="s">
        <v>335</v>
      </c>
      <c r="AH29" s="74" t="s">
        <v>345</v>
      </c>
      <c r="AI29" s="74" t="s">
        <v>345</v>
      </c>
      <c r="AJ29" s="74" t="s">
        <v>345</v>
      </c>
      <c r="AK29" s="74" t="s">
        <v>335</v>
      </c>
      <c r="AL29" s="74" t="s">
        <v>345</v>
      </c>
      <c r="AM29" s="74" t="s">
        <v>345</v>
      </c>
      <c r="AN29" s="74" t="s">
        <v>345</v>
      </c>
      <c r="AO29" s="74" t="s">
        <v>345</v>
      </c>
      <c r="AP29" s="74" t="s">
        <v>335</v>
      </c>
      <c r="AQ29" s="160"/>
    </row>
    <row r="30" spans="1:43" ht="69" thickBot="1">
      <c r="A30" s="160" t="s">
        <v>97</v>
      </c>
      <c r="D30" s="195" t="s">
        <v>287</v>
      </c>
      <c r="E30" s="194" t="s">
        <v>449</v>
      </c>
      <c r="F30" s="74" t="s">
        <v>290</v>
      </c>
      <c r="G30" s="74" t="s">
        <v>335</v>
      </c>
      <c r="H30" s="74" t="s">
        <v>450</v>
      </c>
      <c r="I30" s="74" t="s">
        <v>451</v>
      </c>
      <c r="J30" s="74" t="s">
        <v>335</v>
      </c>
      <c r="K30" s="74" t="s">
        <v>452</v>
      </c>
      <c r="L30" s="74" t="s">
        <v>453</v>
      </c>
      <c r="M30" s="74" t="s">
        <v>416</v>
      </c>
      <c r="N30" s="74" t="s">
        <v>454</v>
      </c>
      <c r="O30" s="74" t="s">
        <v>290</v>
      </c>
      <c r="P30" s="74" t="s">
        <v>335</v>
      </c>
      <c r="Q30" s="74" t="s">
        <v>290</v>
      </c>
      <c r="R30" s="74" t="s">
        <v>455</v>
      </c>
      <c r="S30" s="74" t="s">
        <v>456</v>
      </c>
      <c r="T30" s="74" t="s">
        <v>335</v>
      </c>
      <c r="U30" s="74" t="s">
        <v>335</v>
      </c>
      <c r="V30" s="74" t="s">
        <v>335</v>
      </c>
      <c r="W30" s="74" t="s">
        <v>433</v>
      </c>
      <c r="X30" s="74" t="s">
        <v>290</v>
      </c>
      <c r="Y30" s="74" t="s">
        <v>290</v>
      </c>
      <c r="Z30" s="74" t="s">
        <v>457</v>
      </c>
      <c r="AA30" s="74" t="s">
        <v>345</v>
      </c>
      <c r="AB30" s="74" t="s">
        <v>335</v>
      </c>
      <c r="AC30" s="74" t="s">
        <v>335</v>
      </c>
      <c r="AD30" s="74" t="s">
        <v>458</v>
      </c>
      <c r="AE30" s="74" t="s">
        <v>335</v>
      </c>
      <c r="AF30" s="74" t="s">
        <v>459</v>
      </c>
      <c r="AG30" s="74" t="s">
        <v>335</v>
      </c>
      <c r="AH30" s="74" t="s">
        <v>345</v>
      </c>
      <c r="AI30" s="74" t="s">
        <v>335</v>
      </c>
      <c r="AJ30" s="74" t="s">
        <v>345</v>
      </c>
      <c r="AK30" s="74" t="s">
        <v>335</v>
      </c>
      <c r="AL30" s="74" t="s">
        <v>345</v>
      </c>
      <c r="AM30" s="74" t="s">
        <v>345</v>
      </c>
      <c r="AN30" s="74" t="s">
        <v>345</v>
      </c>
      <c r="AO30" s="74" t="s">
        <v>345</v>
      </c>
      <c r="AP30" s="74" t="s">
        <v>335</v>
      </c>
    </row>
    <row r="31" spans="1:43" ht="69" thickBot="1">
      <c r="A31" s="160" t="s">
        <v>101</v>
      </c>
      <c r="C31" s="74" t="s">
        <v>328</v>
      </c>
      <c r="D31" s="195" t="s">
        <v>263</v>
      </c>
      <c r="E31" s="194" t="s">
        <v>329</v>
      </c>
      <c r="F31" s="74" t="s">
        <v>335</v>
      </c>
      <c r="G31" s="74" t="s">
        <v>335</v>
      </c>
      <c r="H31" s="74" t="s">
        <v>460</v>
      </c>
      <c r="I31" s="74" t="s">
        <v>461</v>
      </c>
      <c r="J31" s="74" t="s">
        <v>335</v>
      </c>
      <c r="K31" s="74" t="s">
        <v>462</v>
      </c>
      <c r="L31" s="74" t="s">
        <v>463</v>
      </c>
      <c r="M31" s="74" t="s">
        <v>206</v>
      </c>
      <c r="N31" s="74" t="s">
        <v>262</v>
      </c>
      <c r="O31" s="74" t="s">
        <v>464</v>
      </c>
      <c r="P31" s="74" t="s">
        <v>335</v>
      </c>
      <c r="Q31" s="74" t="s">
        <v>335</v>
      </c>
      <c r="R31" s="74" t="s">
        <v>465</v>
      </c>
      <c r="S31" s="74" t="s">
        <v>433</v>
      </c>
      <c r="T31" s="74" t="s">
        <v>335</v>
      </c>
      <c r="U31" s="74" t="s">
        <v>335</v>
      </c>
      <c r="V31" s="74" t="s">
        <v>335</v>
      </c>
      <c r="W31" s="74" t="s">
        <v>466</v>
      </c>
      <c r="X31" s="74" t="s">
        <v>433</v>
      </c>
      <c r="Y31" s="74" t="s">
        <v>311</v>
      </c>
      <c r="Z31" s="74" t="s">
        <v>433</v>
      </c>
      <c r="AA31" s="74" t="s">
        <v>335</v>
      </c>
      <c r="AB31" s="74" t="s">
        <v>335</v>
      </c>
      <c r="AC31" s="74" t="s">
        <v>282</v>
      </c>
      <c r="AD31" s="74" t="s">
        <v>285</v>
      </c>
      <c r="AE31" s="74" t="s">
        <v>335</v>
      </c>
      <c r="AF31" s="74" t="s">
        <v>467</v>
      </c>
      <c r="AG31" s="74" t="s">
        <v>335</v>
      </c>
      <c r="AH31" s="74" t="s">
        <v>345</v>
      </c>
      <c r="AI31" s="74" t="s">
        <v>335</v>
      </c>
      <c r="AJ31" s="74" t="s">
        <v>345</v>
      </c>
      <c r="AK31" s="74" t="s">
        <v>335</v>
      </c>
      <c r="AL31" s="74" t="s">
        <v>345</v>
      </c>
      <c r="AM31" s="74" t="s">
        <v>345</v>
      </c>
      <c r="AN31" s="74" t="s">
        <v>345</v>
      </c>
      <c r="AO31" s="74" t="s">
        <v>345</v>
      </c>
      <c r="AP31" s="74" t="s">
        <v>335</v>
      </c>
    </row>
    <row r="32" spans="1:43" ht="69" thickBot="1">
      <c r="A32" s="160" t="s">
        <v>102</v>
      </c>
      <c r="D32" s="195" t="s">
        <v>270</v>
      </c>
      <c r="E32" s="194" t="s">
        <v>330</v>
      </c>
      <c r="F32" s="74" t="s">
        <v>335</v>
      </c>
      <c r="G32" s="74" t="s">
        <v>335</v>
      </c>
      <c r="H32" s="74" t="s">
        <v>468</v>
      </c>
      <c r="I32" s="74" t="s">
        <v>469</v>
      </c>
      <c r="J32" s="74" t="s">
        <v>335</v>
      </c>
      <c r="K32" s="74" t="s">
        <v>445</v>
      </c>
      <c r="L32" s="74" t="s">
        <v>442</v>
      </c>
      <c r="M32" s="74" t="s">
        <v>335</v>
      </c>
      <c r="N32" s="74" t="s">
        <v>275</v>
      </c>
      <c r="O32" s="74" t="s">
        <v>335</v>
      </c>
      <c r="P32" s="74" t="s">
        <v>335</v>
      </c>
      <c r="Q32" s="74" t="s">
        <v>196</v>
      </c>
      <c r="R32" s="74" t="s">
        <v>273</v>
      </c>
      <c r="S32" s="74" t="s">
        <v>276</v>
      </c>
      <c r="T32" s="74" t="s">
        <v>438</v>
      </c>
      <c r="U32" s="74" t="s">
        <v>335</v>
      </c>
      <c r="V32" s="74" t="s">
        <v>345</v>
      </c>
      <c r="W32" s="74" t="s">
        <v>433</v>
      </c>
      <c r="X32" s="74" t="s">
        <v>395</v>
      </c>
      <c r="Y32" s="74" t="s">
        <v>335</v>
      </c>
      <c r="Z32" s="74" t="s">
        <v>433</v>
      </c>
      <c r="AA32" s="74" t="s">
        <v>335</v>
      </c>
      <c r="AB32" s="74" t="s">
        <v>196</v>
      </c>
      <c r="AC32" s="74" t="s">
        <v>438</v>
      </c>
      <c r="AD32" s="74" t="s">
        <v>448</v>
      </c>
      <c r="AE32" s="74" t="s">
        <v>335</v>
      </c>
      <c r="AF32" s="74" t="s">
        <v>445</v>
      </c>
      <c r="AG32" s="74" t="s">
        <v>335</v>
      </c>
      <c r="AH32" s="74" t="s">
        <v>345</v>
      </c>
      <c r="AI32" s="74" t="s">
        <v>335</v>
      </c>
      <c r="AJ32" s="74" t="s">
        <v>345</v>
      </c>
      <c r="AK32" s="74" t="s">
        <v>335</v>
      </c>
      <c r="AL32" s="74" t="s">
        <v>345</v>
      </c>
      <c r="AM32" s="74" t="s">
        <v>345</v>
      </c>
      <c r="AN32" s="74" t="s">
        <v>345</v>
      </c>
      <c r="AO32" s="74" t="s">
        <v>345</v>
      </c>
      <c r="AP32" s="74" t="s">
        <v>345</v>
      </c>
    </row>
    <row r="33" spans="1:42" ht="102">
      <c r="A33" s="160" t="s">
        <v>99</v>
      </c>
      <c r="C33" s="74" t="s">
        <v>328</v>
      </c>
      <c r="D33" s="197" t="s">
        <v>295</v>
      </c>
      <c r="E33" s="196" t="s">
        <v>470</v>
      </c>
      <c r="F33" s="74" t="s">
        <v>335</v>
      </c>
      <c r="G33" s="74" t="s">
        <v>335</v>
      </c>
      <c r="H33" s="74" t="s">
        <v>471</v>
      </c>
      <c r="I33" s="74" t="s">
        <v>472</v>
      </c>
      <c r="J33" s="74" t="s">
        <v>335</v>
      </c>
      <c r="K33" s="74" t="s">
        <v>473</v>
      </c>
      <c r="L33" s="74" t="s">
        <v>474</v>
      </c>
      <c r="M33" s="74" t="s">
        <v>335</v>
      </c>
      <c r="N33" s="74" t="s">
        <v>475</v>
      </c>
      <c r="O33" s="74" t="s">
        <v>282</v>
      </c>
      <c r="P33" s="74" t="s">
        <v>335</v>
      </c>
      <c r="Q33" s="74" t="s">
        <v>335</v>
      </c>
      <c r="R33" s="74" t="s">
        <v>476</v>
      </c>
      <c r="S33" s="74" t="s">
        <v>477</v>
      </c>
      <c r="T33" s="74" t="s">
        <v>438</v>
      </c>
      <c r="U33" s="74" t="s">
        <v>335</v>
      </c>
      <c r="V33" s="74" t="s">
        <v>335</v>
      </c>
      <c r="W33" s="74" t="s">
        <v>478</v>
      </c>
      <c r="X33" s="74" t="s">
        <v>335</v>
      </c>
      <c r="Y33" s="74" t="s">
        <v>215</v>
      </c>
      <c r="Z33" s="74" t="s">
        <v>457</v>
      </c>
      <c r="AA33" s="74" t="s">
        <v>335</v>
      </c>
      <c r="AB33" s="74" t="s">
        <v>479</v>
      </c>
      <c r="AC33" s="74" t="s">
        <v>480</v>
      </c>
      <c r="AD33" s="74" t="s">
        <v>335</v>
      </c>
      <c r="AE33" s="74" t="s">
        <v>345</v>
      </c>
      <c r="AF33" s="74" t="s">
        <v>335</v>
      </c>
      <c r="AG33" s="74" t="s">
        <v>435</v>
      </c>
      <c r="AH33" s="74" t="s">
        <v>345</v>
      </c>
      <c r="AI33" s="74" t="s">
        <v>335</v>
      </c>
      <c r="AJ33" s="74" t="s">
        <v>345</v>
      </c>
      <c r="AK33" s="74" t="s">
        <v>345</v>
      </c>
      <c r="AL33" s="74" t="s">
        <v>345</v>
      </c>
      <c r="AM33" s="74" t="s">
        <v>345</v>
      </c>
      <c r="AN33" s="74" t="s">
        <v>345</v>
      </c>
      <c r="AO33" s="74" t="s">
        <v>345</v>
      </c>
      <c r="AP33" s="74" t="s">
        <v>345</v>
      </c>
    </row>
    <row r="34" spans="1:42" ht="102">
      <c r="A34" s="160" t="s">
        <v>98</v>
      </c>
      <c r="C34" s="74" t="s">
        <v>328</v>
      </c>
      <c r="D34" s="197" t="s">
        <v>481</v>
      </c>
      <c r="E34" s="196" t="s">
        <v>482</v>
      </c>
      <c r="F34" s="74" t="s">
        <v>335</v>
      </c>
      <c r="G34" s="74" t="s">
        <v>335</v>
      </c>
      <c r="H34" s="74" t="s">
        <v>483</v>
      </c>
      <c r="I34" s="74" t="s">
        <v>484</v>
      </c>
      <c r="J34" s="74" t="s">
        <v>335</v>
      </c>
      <c r="K34" s="74" t="s">
        <v>485</v>
      </c>
      <c r="L34" s="74" t="s">
        <v>486</v>
      </c>
      <c r="M34" s="74" t="s">
        <v>335</v>
      </c>
      <c r="N34" s="74" t="s">
        <v>475</v>
      </c>
      <c r="O34" s="74" t="s">
        <v>282</v>
      </c>
      <c r="P34" s="74" t="s">
        <v>335</v>
      </c>
      <c r="Q34" s="74" t="s">
        <v>335</v>
      </c>
      <c r="R34" s="74" t="s">
        <v>487</v>
      </c>
      <c r="S34" s="74" t="s">
        <v>477</v>
      </c>
      <c r="T34" s="74" t="s">
        <v>438</v>
      </c>
      <c r="U34" s="74" t="s">
        <v>335</v>
      </c>
      <c r="V34" s="74" t="s">
        <v>335</v>
      </c>
      <c r="W34" s="74" t="s">
        <v>488</v>
      </c>
      <c r="X34" s="74" t="s">
        <v>335</v>
      </c>
      <c r="Y34" s="74" t="s">
        <v>335</v>
      </c>
      <c r="Z34" s="74" t="s">
        <v>457</v>
      </c>
      <c r="AA34" s="74" t="s">
        <v>335</v>
      </c>
      <c r="AB34" s="74" t="s">
        <v>489</v>
      </c>
      <c r="AC34" s="74" t="s">
        <v>490</v>
      </c>
      <c r="AD34" s="74" t="s">
        <v>435</v>
      </c>
      <c r="AE34" s="74" t="s">
        <v>335</v>
      </c>
      <c r="AF34" s="74" t="s">
        <v>335</v>
      </c>
      <c r="AG34" s="74" t="s">
        <v>435</v>
      </c>
      <c r="AH34" s="74" t="s">
        <v>345</v>
      </c>
      <c r="AI34" s="74" t="s">
        <v>335</v>
      </c>
      <c r="AJ34" s="74" t="s">
        <v>345</v>
      </c>
      <c r="AK34" s="74" t="s">
        <v>345</v>
      </c>
      <c r="AL34" s="74" t="s">
        <v>345</v>
      </c>
      <c r="AM34" s="74" t="s">
        <v>345</v>
      </c>
      <c r="AN34" s="74" t="s">
        <v>345</v>
      </c>
      <c r="AO34" s="74" t="s">
        <v>345</v>
      </c>
      <c r="AP34" s="74" t="s">
        <v>345</v>
      </c>
    </row>
    <row r="35" spans="1:42" ht="85">
      <c r="A35" s="160" t="s">
        <v>100</v>
      </c>
      <c r="D35" s="197" t="s">
        <v>211</v>
      </c>
      <c r="E35" s="196" t="s">
        <v>491</v>
      </c>
      <c r="F35" s="74" t="s">
        <v>335</v>
      </c>
      <c r="G35" s="74" t="s">
        <v>335</v>
      </c>
      <c r="H35" s="74" t="s">
        <v>492</v>
      </c>
      <c r="I35" s="74" t="s">
        <v>493</v>
      </c>
      <c r="J35" s="74" t="s">
        <v>335</v>
      </c>
      <c r="K35" s="74" t="s">
        <v>494</v>
      </c>
      <c r="L35" s="74" t="s">
        <v>495</v>
      </c>
      <c r="M35" s="74" t="s">
        <v>335</v>
      </c>
      <c r="N35" s="74" t="s">
        <v>239</v>
      </c>
      <c r="O35" s="74" t="s">
        <v>335</v>
      </c>
      <c r="P35" s="74" t="s">
        <v>335</v>
      </c>
      <c r="Q35" s="74" t="s">
        <v>335</v>
      </c>
      <c r="R35" s="74" t="s">
        <v>215</v>
      </c>
      <c r="S35" s="74" t="s">
        <v>435</v>
      </c>
      <c r="T35" s="74" t="s">
        <v>335</v>
      </c>
      <c r="U35" s="74" t="s">
        <v>335</v>
      </c>
      <c r="V35" s="74" t="s">
        <v>335</v>
      </c>
      <c r="W35" s="74" t="s">
        <v>496</v>
      </c>
      <c r="X35" s="74" t="s">
        <v>497</v>
      </c>
      <c r="Y35" s="74" t="s">
        <v>215</v>
      </c>
      <c r="Z35" s="74" t="s">
        <v>498</v>
      </c>
      <c r="AA35" s="74" t="s">
        <v>335</v>
      </c>
      <c r="AB35" s="74" t="s">
        <v>499</v>
      </c>
      <c r="AC35" s="74" t="s">
        <v>500</v>
      </c>
      <c r="AD35" s="74" t="s">
        <v>335</v>
      </c>
      <c r="AE35" s="74" t="s">
        <v>345</v>
      </c>
      <c r="AF35" s="74" t="s">
        <v>335</v>
      </c>
      <c r="AG35" s="74" t="s">
        <v>335</v>
      </c>
      <c r="AH35" s="74" t="s">
        <v>345</v>
      </c>
      <c r="AI35" s="74" t="s">
        <v>335</v>
      </c>
      <c r="AJ35" s="74" t="s">
        <v>345</v>
      </c>
      <c r="AK35" s="74" t="s">
        <v>335</v>
      </c>
      <c r="AL35" s="74" t="s">
        <v>345</v>
      </c>
      <c r="AM35" s="74" t="s">
        <v>345</v>
      </c>
      <c r="AN35" s="74" t="s">
        <v>345</v>
      </c>
      <c r="AO35" s="74" t="s">
        <v>345</v>
      </c>
      <c r="AP35" s="74" t="s">
        <v>345</v>
      </c>
    </row>
    <row r="36" spans="1:42" ht="51">
      <c r="A36" s="160" t="s">
        <v>103</v>
      </c>
      <c r="B36" s="74" t="s">
        <v>501</v>
      </c>
      <c r="D36" s="197" t="s">
        <v>333</v>
      </c>
      <c r="E36" s="197" t="s">
        <v>334</v>
      </c>
      <c r="F36" s="74" t="s">
        <v>335</v>
      </c>
      <c r="G36" s="74" t="s">
        <v>438</v>
      </c>
      <c r="H36" s="74" t="s">
        <v>502</v>
      </c>
      <c r="I36" s="74" t="s">
        <v>503</v>
      </c>
      <c r="J36" s="74" t="s">
        <v>438</v>
      </c>
      <c r="K36" s="200" t="s">
        <v>504</v>
      </c>
      <c r="L36" s="74" t="s">
        <v>335</v>
      </c>
      <c r="M36" s="74" t="s">
        <v>394</v>
      </c>
      <c r="N36" s="74" t="s">
        <v>406</v>
      </c>
      <c r="O36" s="74" t="s">
        <v>335</v>
      </c>
      <c r="P36" s="200" t="s">
        <v>392</v>
      </c>
      <c r="Q36" s="74" t="s">
        <v>335</v>
      </c>
      <c r="R36" s="74" t="s">
        <v>335</v>
      </c>
      <c r="S36" s="74" t="s">
        <v>406</v>
      </c>
      <c r="T36" s="74" t="s">
        <v>335</v>
      </c>
      <c r="U36" s="74" t="s">
        <v>345</v>
      </c>
      <c r="V36" s="74" t="s">
        <v>345</v>
      </c>
      <c r="W36" s="74" t="s">
        <v>394</v>
      </c>
      <c r="X36" s="74" t="s">
        <v>433</v>
      </c>
      <c r="Y36" s="74" t="s">
        <v>335</v>
      </c>
      <c r="Z36" s="74" t="s">
        <v>346</v>
      </c>
      <c r="AA36" s="74" t="s">
        <v>335</v>
      </c>
      <c r="AB36" s="74" t="s">
        <v>335</v>
      </c>
      <c r="AC36" s="74" t="s">
        <v>335</v>
      </c>
      <c r="AD36" s="74" t="s">
        <v>335</v>
      </c>
      <c r="AE36" s="74" t="s">
        <v>335</v>
      </c>
      <c r="AF36" s="74" t="s">
        <v>416</v>
      </c>
      <c r="AG36" s="74" t="s">
        <v>335</v>
      </c>
      <c r="AH36" s="74" t="s">
        <v>345</v>
      </c>
      <c r="AI36" s="74" t="s">
        <v>345</v>
      </c>
      <c r="AJ36" s="74" t="s">
        <v>345</v>
      </c>
      <c r="AK36" s="74" t="s">
        <v>345</v>
      </c>
      <c r="AL36" s="74" t="s">
        <v>345</v>
      </c>
      <c r="AM36" s="74" t="s">
        <v>345</v>
      </c>
      <c r="AN36" s="74" t="s">
        <v>345</v>
      </c>
      <c r="AO36" s="74" t="s">
        <v>345</v>
      </c>
      <c r="AP36" s="74" t="s">
        <v>345</v>
      </c>
    </row>
    <row r="37" spans="1:42">
      <c r="A37" s="159" t="s">
        <v>190</v>
      </c>
    </row>
    <row r="38" spans="1:42">
      <c r="A38" s="160" t="s">
        <v>108</v>
      </c>
    </row>
    <row r="39" spans="1:42" ht="17" thickBot="1">
      <c r="A39" s="160" t="s">
        <v>109</v>
      </c>
      <c r="D39" s="252" t="s">
        <v>505</v>
      </c>
      <c r="E39" s="253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111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506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107</v>
      </c>
      <c r="D41" s="119" t="s">
        <v>507</v>
      </c>
      <c r="F41" s="74"/>
      <c r="G41" s="74" t="s">
        <v>508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112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106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113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92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103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350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97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51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128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351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110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130</v>
      </c>
    </row>
    <row r="54" spans="1:41">
      <c r="A54" s="160" t="s">
        <v>132</v>
      </c>
    </row>
    <row r="55" spans="1:41">
      <c r="A55" s="160" t="s">
        <v>120</v>
      </c>
    </row>
    <row r="56" spans="1:41">
      <c r="A56" s="160" t="s">
        <v>124</v>
      </c>
    </row>
    <row r="57" spans="1:41">
      <c r="A57" s="160" t="s">
        <v>127</v>
      </c>
    </row>
    <row r="58" spans="1:41">
      <c r="A58" s="160" t="s">
        <v>122</v>
      </c>
    </row>
    <row r="59" spans="1:41">
      <c r="A59" s="160" t="s">
        <v>52</v>
      </c>
    </row>
    <row r="60" spans="1:41">
      <c r="A60" s="160" t="s">
        <v>129</v>
      </c>
    </row>
    <row r="61" spans="1:41">
      <c r="A61" s="160" t="s">
        <v>133</v>
      </c>
    </row>
    <row r="62" spans="1:41">
      <c r="A62" s="159" t="s">
        <v>53</v>
      </c>
    </row>
    <row r="63" spans="1:41">
      <c r="A63" s="160" t="s">
        <v>139</v>
      </c>
    </row>
    <row r="64" spans="1:41">
      <c r="A64" s="160" t="s">
        <v>141</v>
      </c>
    </row>
    <row r="65" spans="1:1">
      <c r="A65" s="160" t="s">
        <v>140</v>
      </c>
    </row>
    <row r="66" spans="1:1">
      <c r="A66" s="160" t="s">
        <v>135</v>
      </c>
    </row>
    <row r="67" spans="1:1">
      <c r="A67" s="160" t="s">
        <v>142</v>
      </c>
    </row>
    <row r="68" spans="1:1">
      <c r="A68" s="160" t="s">
        <v>136</v>
      </c>
    </row>
    <row r="69" spans="1:1">
      <c r="A69" s="160" t="s">
        <v>137</v>
      </c>
    </row>
    <row r="70" spans="1:1">
      <c r="A70" s="160" t="s">
        <v>143</v>
      </c>
    </row>
    <row r="71" spans="1:1">
      <c r="A71" s="160" t="s">
        <v>144</v>
      </c>
    </row>
    <row r="72" spans="1:1">
      <c r="A72" s="160" t="s">
        <v>138</v>
      </c>
    </row>
    <row r="73" spans="1:1">
      <c r="A73" s="159" t="s">
        <v>277</v>
      </c>
    </row>
  </sheetData>
  <mergeCells count="13">
    <mergeCell ref="D22:E22"/>
    <mergeCell ref="D28:E28"/>
    <mergeCell ref="D39:E39"/>
    <mergeCell ref="B21:B22"/>
    <mergeCell ref="C21:C22"/>
    <mergeCell ref="G16:K16"/>
    <mergeCell ref="G17:K17"/>
    <mergeCell ref="G15:P15"/>
    <mergeCell ref="D4:D9"/>
    <mergeCell ref="E4:E9"/>
    <mergeCell ref="G12:K12"/>
    <mergeCell ref="G13:K13"/>
    <mergeCell ref="G14:K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152</v>
      </c>
      <c r="D1" s="155"/>
      <c r="E1" s="87"/>
      <c r="I1" s="164" t="s">
        <v>153</v>
      </c>
      <c r="J1" s="187">
        <v>50</v>
      </c>
      <c r="K1" s="80"/>
      <c r="L1" s="190" t="s">
        <v>509</v>
      </c>
      <c r="M1" s="191">
        <v>10</v>
      </c>
      <c r="O1" s="87" t="s">
        <v>510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48.233104765604764</v>
      </c>
    </row>
    <row r="3" spans="1:16" ht="21" customHeight="1">
      <c r="A3" s="158" t="s">
        <v>154</v>
      </c>
      <c r="F3" s="256" t="s">
        <v>511</v>
      </c>
      <c r="G3" s="256"/>
      <c r="H3" s="256"/>
      <c r="I3" s="256"/>
      <c r="J3" s="256"/>
      <c r="O3">
        <f>COUNT($E$24:$E$29)</f>
        <v>6</v>
      </c>
    </row>
    <row r="4" spans="1:16" ht="19">
      <c r="A4" s="159" t="s">
        <v>23</v>
      </c>
      <c r="F4" s="241" t="s">
        <v>167</v>
      </c>
      <c r="G4" s="241"/>
      <c r="H4" s="241"/>
      <c r="I4" s="241"/>
      <c r="J4" s="241"/>
      <c r="K4" s="159"/>
      <c r="L4" s="159"/>
      <c r="M4" s="159"/>
      <c r="O4" t="b">
        <f>$D$24&lt;=37</f>
        <v>0</v>
      </c>
    </row>
    <row r="5" spans="1:16" ht="19">
      <c r="A5" s="160" t="s">
        <v>49</v>
      </c>
      <c r="F5" s="241" t="s">
        <v>512</v>
      </c>
      <c r="G5" s="241"/>
      <c r="H5" s="241"/>
      <c r="I5" s="241"/>
      <c r="J5" s="241"/>
      <c r="K5" s="159"/>
      <c r="L5" s="159"/>
      <c r="M5" s="159"/>
      <c r="O5" t="b">
        <f>$D$24&gt;=34.5</f>
        <v>1</v>
      </c>
    </row>
    <row r="6" spans="1:16" ht="19">
      <c r="A6" s="160" t="s">
        <v>123</v>
      </c>
      <c r="F6" s="241" t="s">
        <v>169</v>
      </c>
      <c r="G6" s="241"/>
      <c r="H6" s="241"/>
      <c r="I6" s="241"/>
      <c r="J6" s="241"/>
      <c r="K6" s="241"/>
      <c r="L6" s="241"/>
      <c r="M6" s="241"/>
      <c r="O6" t="b">
        <f>$E$24&lt;=3</f>
        <v>0</v>
      </c>
    </row>
    <row r="7" spans="1:16" ht="19">
      <c r="A7" s="160" t="s">
        <v>38</v>
      </c>
      <c r="F7" s="241" t="s">
        <v>170</v>
      </c>
      <c r="G7" s="241"/>
      <c r="H7" s="241"/>
      <c r="I7" s="241"/>
      <c r="J7" s="241"/>
      <c r="K7" s="159"/>
      <c r="L7" s="159"/>
      <c r="M7" s="159"/>
      <c r="O7" t="b">
        <f>$E$24&gt;=2</f>
        <v>1</v>
      </c>
    </row>
    <row r="8" spans="1:16" ht="19">
      <c r="A8" s="160" t="s">
        <v>50</v>
      </c>
      <c r="F8" s="241" t="s">
        <v>171</v>
      </c>
      <c r="G8" s="241"/>
      <c r="H8" s="241"/>
      <c r="I8" s="241"/>
      <c r="J8" s="241"/>
      <c r="K8" s="159"/>
      <c r="L8" s="159"/>
      <c r="M8" s="159"/>
      <c r="O8" t="b">
        <f t="array" ref="O8">$E$24:$E$29=INT($E$24:$E$29)</f>
        <v>1</v>
      </c>
    </row>
    <row r="9" spans="1:16">
      <c r="A9" s="160" t="s">
        <v>56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84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85</v>
      </c>
      <c r="B12" s="254" t="s">
        <v>513</v>
      </c>
      <c r="C12" s="202"/>
      <c r="D12" s="173"/>
      <c r="E12" s="174" t="s">
        <v>155</v>
      </c>
      <c r="F12" s="174" t="s">
        <v>156</v>
      </c>
      <c r="G12" s="175"/>
      <c r="H12" s="175"/>
      <c r="I12" s="176" t="s">
        <v>157</v>
      </c>
      <c r="J12" s="176" t="s">
        <v>158</v>
      </c>
      <c r="K12" s="177"/>
      <c r="L12" s="178" t="s">
        <v>159</v>
      </c>
      <c r="O12" t="b">
        <f>$E$27=3</f>
        <v>0</v>
      </c>
    </row>
    <row r="13" spans="1:16" ht="17" thickTop="1">
      <c r="A13" s="160" t="s">
        <v>86</v>
      </c>
      <c r="B13" s="255"/>
      <c r="C13" s="246" t="s">
        <v>514</v>
      </c>
      <c r="D13" s="248">
        <f>SUMPRODUCT(E13:E18, I13:I18)</f>
        <v>30.132308987308988</v>
      </c>
      <c r="E13" s="212">
        <v>3</v>
      </c>
      <c r="F13" s="119">
        <f t="shared" ref="F13:F18" si="0">$M$1*E13</f>
        <v>30</v>
      </c>
      <c r="H13" t="s">
        <v>160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87</v>
      </c>
      <c r="B14" s="255"/>
      <c r="C14" s="246"/>
      <c r="D14" s="248"/>
      <c r="E14" s="212">
        <v>7</v>
      </c>
      <c r="F14" s="119">
        <f t="shared" si="0"/>
        <v>70</v>
      </c>
      <c r="H14" t="s">
        <v>161</v>
      </c>
      <c r="I14" s="80">
        <f>AVERAGEIFS('Master Variety List'!E:E, 'Master Variety List'!A:A, "*Fall*", 'Master Variety List'!B:B, "*Foundation*")</f>
        <v>1.5100925925925928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38</v>
      </c>
      <c r="B15" s="255"/>
      <c r="C15" s="246"/>
      <c r="D15" s="248"/>
      <c r="E15" s="212">
        <v>1</v>
      </c>
      <c r="F15" s="119">
        <f t="shared" si="0"/>
        <v>10</v>
      </c>
      <c r="H15" t="s">
        <v>162</v>
      </c>
      <c r="I15" s="80">
        <f>AVERAGEIFS('Master Variety List'!E:E, 'Master Variety List'!A:A, "*Fall*", 'Master Variety List'!B:B, "*Filler*")</f>
        <v>1.4024999999999999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88</v>
      </c>
      <c r="B16" s="255"/>
      <c r="C16" s="246"/>
      <c r="D16" s="248"/>
      <c r="E16" s="212">
        <v>3</v>
      </c>
      <c r="F16" s="119">
        <f t="shared" si="0"/>
        <v>30</v>
      </c>
      <c r="H16" t="s">
        <v>352</v>
      </c>
      <c r="I16" s="80">
        <f>AVERAGEIFS('Master Variety List'!E:E, 'Master Variety List'!A:A, "*Fall*", 'Master Variety List'!B:B, "*Float*")</f>
        <v>1.1948717948717946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82</v>
      </c>
      <c r="B17" s="255"/>
      <c r="C17" s="246"/>
      <c r="D17" s="248"/>
      <c r="E17" s="212">
        <v>3</v>
      </c>
      <c r="F17" s="119">
        <f t="shared" si="0"/>
        <v>30</v>
      </c>
      <c r="H17" t="s">
        <v>164</v>
      </c>
      <c r="I17" s="80">
        <f>AVERAGEIFS('Master Variety List'!E:E, 'Master Variety List'!A:A, "*Fall*", 'Master Variety List'!B:B, "*Finisher*")</f>
        <v>1.4575000000000002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125</v>
      </c>
      <c r="B18" s="255"/>
      <c r="C18" s="247"/>
      <c r="D18" s="249"/>
      <c r="E18" s="167">
        <v>3</v>
      </c>
      <c r="F18" s="168">
        <f t="shared" si="0"/>
        <v>30</v>
      </c>
      <c r="G18" s="169"/>
      <c r="H18" s="169" t="s">
        <v>165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83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90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93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89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92</v>
      </c>
      <c r="B23" s="254" t="s">
        <v>515</v>
      </c>
      <c r="C23" s="202"/>
      <c r="D23" s="173"/>
      <c r="E23" s="174" t="s">
        <v>155</v>
      </c>
      <c r="F23" s="174" t="s">
        <v>156</v>
      </c>
      <c r="G23" s="175"/>
      <c r="H23" s="175"/>
      <c r="I23" s="176" t="s">
        <v>157</v>
      </c>
      <c r="J23" s="176" t="s">
        <v>158</v>
      </c>
      <c r="K23" s="177"/>
      <c r="L23" s="178" t="s">
        <v>159</v>
      </c>
    </row>
    <row r="24" spans="1:15" ht="17" thickTop="1">
      <c r="A24" s="159" t="s">
        <v>424</v>
      </c>
      <c r="B24" s="255"/>
      <c r="C24" s="246" t="s">
        <v>514</v>
      </c>
      <c r="D24" s="248">
        <f>SUMPRODUCT(I24:I29, E24:E29)</f>
        <v>48.233104765604764</v>
      </c>
      <c r="E24" s="212">
        <v>5</v>
      </c>
      <c r="F24" s="119">
        <f>$M$1*E24</f>
        <v>50</v>
      </c>
      <c r="H24" t="s">
        <v>160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91</v>
      </c>
      <c r="B25" s="255"/>
      <c r="C25" s="246"/>
      <c r="D25" s="248"/>
      <c r="E25" s="212">
        <v>11</v>
      </c>
      <c r="F25" s="119">
        <f>$M$1*E25</f>
        <v>110</v>
      </c>
      <c r="H25" t="s">
        <v>161</v>
      </c>
      <c r="I25" s="80">
        <f>AVERAGEIFS('Master Variety List'!E:E, 'Master Variety List'!A:A, "*Fall*", 'Master Variety List'!B:B, "*Foundation*")</f>
        <v>1.5100925925925928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5"/>
      <c r="C26" s="246"/>
      <c r="D26" s="248"/>
      <c r="E26" s="212">
        <v>3</v>
      </c>
      <c r="F26" s="119">
        <f t="shared" ref="F26:F29" si="4">$M$1*E26</f>
        <v>30</v>
      </c>
      <c r="H26" t="s">
        <v>162</v>
      </c>
      <c r="I26" s="80">
        <f>AVERAGEIFS('Master Variety List'!E:E, 'Master Variety List'!A:A, "*Fall*", 'Master Variety List'!B:B, "*Filler*")</f>
        <v>1.4024999999999999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101</v>
      </c>
      <c r="B27" s="255"/>
      <c r="C27" s="246"/>
      <c r="D27" s="248"/>
      <c r="E27" s="212">
        <v>5</v>
      </c>
      <c r="F27" s="119">
        <f t="shared" si="4"/>
        <v>50</v>
      </c>
      <c r="H27" t="s">
        <v>352</v>
      </c>
      <c r="I27" s="80">
        <f>AVERAGEIFS('Master Variety List'!E:E, 'Master Variety List'!A:A, "*Fall*", 'Master Variety List'!B:B, "*Float*")</f>
        <v>1.1948717948717946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102</v>
      </c>
      <c r="B28" s="255"/>
      <c r="C28" s="246"/>
      <c r="D28" s="248"/>
      <c r="E28" s="212">
        <v>4</v>
      </c>
      <c r="F28" s="119">
        <f t="shared" si="4"/>
        <v>40</v>
      </c>
      <c r="H28" t="s">
        <v>164</v>
      </c>
      <c r="I28" s="80">
        <f>AVERAGEIFS('Master Variety List'!E:E, 'Master Variety List'!A:A, "*Fall*", 'Master Variety List'!B:B, "*Finisher*")</f>
        <v>1.4575000000000002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99</v>
      </c>
      <c r="B29" s="255"/>
      <c r="C29" s="247"/>
      <c r="D29" s="249"/>
      <c r="E29" s="167">
        <v>4</v>
      </c>
      <c r="F29" s="207">
        <f t="shared" si="4"/>
        <v>40</v>
      </c>
      <c r="G29" s="169"/>
      <c r="H29" s="169" t="s">
        <v>165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100</v>
      </c>
      <c r="D30" s="155"/>
      <c r="E30" s="87"/>
      <c r="I30" s="80"/>
      <c r="J30" s="154"/>
      <c r="K30" s="80"/>
      <c r="L30" s="154"/>
    </row>
    <row r="31" spans="1:15">
      <c r="A31" s="160" t="s">
        <v>103</v>
      </c>
      <c r="D31" s="155"/>
      <c r="E31" s="87"/>
      <c r="I31" s="80"/>
      <c r="J31" s="154"/>
      <c r="K31" s="80"/>
      <c r="L31" s="154"/>
    </row>
    <row r="32" spans="1:15">
      <c r="A32" s="159" t="s">
        <v>190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108</v>
      </c>
      <c r="B33" s="254" t="s">
        <v>516</v>
      </c>
      <c r="C33" s="202"/>
      <c r="D33" s="173"/>
      <c r="E33" s="174" t="s">
        <v>155</v>
      </c>
      <c r="F33" s="174" t="s">
        <v>156</v>
      </c>
      <c r="G33" s="175"/>
      <c r="H33" s="175"/>
      <c r="I33" s="176" t="s">
        <v>517</v>
      </c>
      <c r="J33" s="176" t="s">
        <v>158</v>
      </c>
      <c r="K33" s="177"/>
      <c r="L33" s="178" t="s">
        <v>159</v>
      </c>
    </row>
    <row r="34" spans="1:12" ht="17" thickTop="1">
      <c r="A34" s="160" t="s">
        <v>109</v>
      </c>
      <c r="B34" s="255"/>
      <c r="C34" s="246" t="s">
        <v>514</v>
      </c>
      <c r="D34" s="248">
        <f>SUMPRODUCT(E34:E39, I34:I39)</f>
        <v>19.419383579383581</v>
      </c>
      <c r="E34" s="212">
        <v>1</v>
      </c>
      <c r="F34" s="119">
        <f>$P$1*E34</f>
        <v>10</v>
      </c>
      <c r="H34" t="s">
        <v>160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111</v>
      </c>
      <c r="B35" s="255"/>
      <c r="C35" s="246"/>
      <c r="D35" s="248"/>
      <c r="E35" s="212">
        <v>7</v>
      </c>
      <c r="F35" s="119">
        <f t="shared" ref="F35:F39" si="7">$P$1*E35</f>
        <v>70</v>
      </c>
      <c r="H35" t="s">
        <v>161</v>
      </c>
      <c r="I35" s="80">
        <f>AVERAGEIFS('Master Variety List'!E:E, 'Master Variety List'!A:A, "*Fall*", 'Master Variety List'!B:B, "*Foundation*")</f>
        <v>1.5100925925925928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107</v>
      </c>
      <c r="B36" s="255"/>
      <c r="C36" s="246"/>
      <c r="D36" s="248"/>
      <c r="E36" s="212">
        <v>1</v>
      </c>
      <c r="F36" s="119">
        <f t="shared" si="7"/>
        <v>10</v>
      </c>
      <c r="H36" t="s">
        <v>162</v>
      </c>
      <c r="I36" s="80">
        <f>AVERAGEIFS('Master Variety List'!E:E, 'Master Variety List'!A:A, "*Fall*", 'Master Variety List'!B:B, "*Filler*")</f>
        <v>1.4024999999999999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112</v>
      </c>
      <c r="B37" s="255"/>
      <c r="C37" s="246"/>
      <c r="D37" s="248"/>
      <c r="E37" s="212">
        <v>1</v>
      </c>
      <c r="F37" s="119">
        <f t="shared" si="7"/>
        <v>10</v>
      </c>
      <c r="H37" t="s">
        <v>352</v>
      </c>
      <c r="I37" s="80">
        <f>AVERAGEIFS('Master Variety List'!E:E, 'Master Variety List'!A:A, "*Fall*", 'Master Variety List'!B:B, "*Float*")</f>
        <v>1.1948717948717946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113</v>
      </c>
      <c r="B38" s="255"/>
      <c r="C38" s="246"/>
      <c r="D38" s="248"/>
      <c r="E38" s="212">
        <v>1</v>
      </c>
      <c r="F38" s="119">
        <f t="shared" si="7"/>
        <v>10</v>
      </c>
      <c r="H38" t="s">
        <v>164</v>
      </c>
      <c r="I38" s="80">
        <f>AVERAGEIFS('Master Variety List'!E:E, 'Master Variety List'!A:A, "*Fall*", 'Master Variety List'!B:B, "*Finisher*")</f>
        <v>1.4575000000000002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92</v>
      </c>
      <c r="B39" s="255"/>
      <c r="C39" s="247"/>
      <c r="D39" s="249"/>
      <c r="E39" s="167">
        <v>2</v>
      </c>
      <c r="F39" s="168">
        <f t="shared" si="7"/>
        <v>20</v>
      </c>
      <c r="G39" s="169"/>
      <c r="H39" s="169" t="s">
        <v>165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103</v>
      </c>
    </row>
    <row r="41" spans="1:12">
      <c r="A41" s="159" t="s">
        <v>51</v>
      </c>
    </row>
    <row r="42" spans="1:12" ht="86" thickBot="1">
      <c r="A42" s="160" t="s">
        <v>128</v>
      </c>
      <c r="B42" s="254" t="s">
        <v>518</v>
      </c>
      <c r="C42" s="202"/>
      <c r="D42" s="173"/>
      <c r="E42" s="174" t="s">
        <v>155</v>
      </c>
      <c r="F42" s="174" t="s">
        <v>156</v>
      </c>
      <c r="G42" s="175"/>
      <c r="H42" s="175"/>
      <c r="I42" s="176" t="s">
        <v>517</v>
      </c>
      <c r="J42" s="176" t="s">
        <v>158</v>
      </c>
      <c r="K42" s="177"/>
      <c r="L42" s="178" t="s">
        <v>159</v>
      </c>
    </row>
    <row r="43" spans="1:12" ht="17" thickTop="1">
      <c r="A43" s="160" t="s">
        <v>123</v>
      </c>
      <c r="B43" s="255"/>
      <c r="C43" s="246" t="s">
        <v>514</v>
      </c>
      <c r="D43" s="248">
        <f>SUMPRODUCT(E43:E48, I43:I48)</f>
        <v>18.360681818181821</v>
      </c>
      <c r="E43" s="212">
        <v>7</v>
      </c>
      <c r="F43" s="119">
        <f t="shared" ref="F43:F48" si="8">$J$1*E43</f>
        <v>350</v>
      </c>
      <c r="H43" t="s">
        <v>160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110</v>
      </c>
      <c r="B44" s="255"/>
      <c r="C44" s="246"/>
      <c r="D44" s="248"/>
      <c r="E44" s="212">
        <v>0</v>
      </c>
      <c r="F44" s="119">
        <f t="shared" si="8"/>
        <v>0</v>
      </c>
      <c r="H44" t="s">
        <v>161</v>
      </c>
      <c r="I44" s="80">
        <f>AVERAGEIFS('Master Variety List'!E:E, 'Master Variety List'!A:A, "*Fall*", 'Master Variety List'!B:B, "*Foundation*")</f>
        <v>1.5100925925925928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130</v>
      </c>
      <c r="B45" s="255"/>
      <c r="C45" s="246"/>
      <c r="D45" s="248"/>
      <c r="E45" s="212">
        <v>0</v>
      </c>
      <c r="F45" s="119">
        <f t="shared" si="8"/>
        <v>0</v>
      </c>
      <c r="H45" t="s">
        <v>162</v>
      </c>
      <c r="I45" s="80">
        <f>AVERAGEIFS('Master Variety List'!E:E, 'Master Variety List'!A:A, "*Fall*", 'Master Variety List'!B:B, "*Filler*")</f>
        <v>1.4024999999999999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132</v>
      </c>
      <c r="B46" s="255"/>
      <c r="C46" s="246"/>
      <c r="D46" s="248"/>
      <c r="E46" s="212">
        <v>0</v>
      </c>
      <c r="F46" s="119">
        <f t="shared" si="8"/>
        <v>0</v>
      </c>
      <c r="H46" t="s">
        <v>352</v>
      </c>
      <c r="I46" s="80">
        <f>AVERAGEIFS('Master Variety List'!E:E, 'Master Variety List'!A:A, "*Fall*", 'Master Variety List'!B:B, "*Float*")</f>
        <v>1.1948717948717946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118</v>
      </c>
      <c r="B47" s="255"/>
      <c r="C47" s="246"/>
      <c r="D47" s="248"/>
      <c r="E47" s="212">
        <v>2</v>
      </c>
      <c r="F47" s="119">
        <f t="shared" si="8"/>
        <v>100</v>
      </c>
      <c r="H47" t="s">
        <v>164</v>
      </c>
      <c r="I47" s="80">
        <f>AVERAGEIFS('Master Variety List'!E:E, 'Master Variety List'!A:A, "*Fall*", 'Master Variety List'!B:B, "*Finisher*")</f>
        <v>1.4575000000000002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120</v>
      </c>
      <c r="B48" s="255"/>
      <c r="C48" s="247"/>
      <c r="D48" s="249"/>
      <c r="E48" s="167">
        <v>1</v>
      </c>
      <c r="F48" s="168">
        <f t="shared" si="8"/>
        <v>50</v>
      </c>
      <c r="G48" s="169"/>
      <c r="H48" s="169" t="s">
        <v>165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124</v>
      </c>
    </row>
    <row r="50" spans="1:39">
      <c r="A50" s="160" t="s">
        <v>122</v>
      </c>
    </row>
    <row r="51" spans="1:39">
      <c r="A51" s="160" t="s">
        <v>52</v>
      </c>
      <c r="D51" s="119"/>
      <c r="F51" t="s">
        <v>172</v>
      </c>
      <c r="J51" s="119" t="s">
        <v>173</v>
      </c>
      <c r="K51" s="119"/>
      <c r="L51" s="119"/>
      <c r="M51" s="119"/>
      <c r="N51" s="119"/>
      <c r="O51" s="119"/>
      <c r="P51" s="119"/>
      <c r="Q51" s="119"/>
      <c r="U51" s="119" t="s">
        <v>174</v>
      </c>
      <c r="V51" s="119"/>
      <c r="Z51" s="119" t="s">
        <v>175</v>
      </c>
      <c r="AA51" s="119"/>
      <c r="AB51" s="119"/>
      <c r="AC51" s="119"/>
      <c r="AD51" s="119"/>
      <c r="AE51" s="119"/>
      <c r="AF51" s="119" t="s">
        <v>176</v>
      </c>
      <c r="AH51" s="119"/>
      <c r="AI51" s="119"/>
      <c r="AJ51" s="119"/>
      <c r="AK51" s="119"/>
      <c r="AL51" s="119" t="s">
        <v>177</v>
      </c>
      <c r="AM51" s="119"/>
    </row>
    <row r="52" spans="1:39" ht="37" thickBot="1">
      <c r="A52" s="160" t="s">
        <v>129</v>
      </c>
      <c r="B52" s="209" t="s">
        <v>178</v>
      </c>
      <c r="C52" s="209" t="s">
        <v>519</v>
      </c>
      <c r="D52" s="119"/>
      <c r="F52" s="87" t="s">
        <v>123</v>
      </c>
      <c r="G52" s="87" t="s">
        <v>363</v>
      </c>
      <c r="H52" s="87" t="s">
        <v>56</v>
      </c>
      <c r="I52" s="87" t="s">
        <v>364</v>
      </c>
      <c r="J52" s="87" t="s">
        <v>91</v>
      </c>
      <c r="K52" s="87" t="s">
        <v>365</v>
      </c>
      <c r="L52" s="87" t="s">
        <v>366</v>
      </c>
      <c r="M52" s="87" t="s">
        <v>87</v>
      </c>
      <c r="N52" s="87" t="s">
        <v>88</v>
      </c>
      <c r="O52" s="87" t="s">
        <v>79</v>
      </c>
      <c r="P52" s="87" t="s">
        <v>314</v>
      </c>
      <c r="Q52" s="87" t="s">
        <v>90</v>
      </c>
      <c r="R52" s="87" t="s">
        <v>520</v>
      </c>
      <c r="S52" s="87" t="s">
        <v>100</v>
      </c>
      <c r="T52" s="119" t="s">
        <v>368</v>
      </c>
      <c r="U52" s="87" t="s">
        <v>99</v>
      </c>
      <c r="V52" s="87" t="s">
        <v>521</v>
      </c>
      <c r="W52" s="87" t="s">
        <v>108</v>
      </c>
      <c r="X52" s="87" t="s">
        <v>109</v>
      </c>
      <c r="Y52" s="87" t="s">
        <v>111</v>
      </c>
      <c r="Z52" s="87" t="s">
        <v>317</v>
      </c>
      <c r="AA52" s="87" t="s">
        <v>106</v>
      </c>
      <c r="AB52" s="87" t="s">
        <v>113</v>
      </c>
      <c r="AC52" s="87" t="s">
        <v>128</v>
      </c>
      <c r="AD52" s="87" t="s">
        <v>120</v>
      </c>
      <c r="AE52" s="87" t="s">
        <v>110</v>
      </c>
      <c r="AF52" s="87" t="s">
        <v>369</v>
      </c>
      <c r="AG52" s="87" t="s">
        <v>370</v>
      </c>
      <c r="AH52" s="87" t="s">
        <v>140</v>
      </c>
      <c r="AI52" s="87" t="s">
        <v>141</v>
      </c>
      <c r="AJ52" s="87" t="s">
        <v>135</v>
      </c>
      <c r="AK52" s="87" t="s">
        <v>136</v>
      </c>
      <c r="AL52" s="87" t="s">
        <v>139</v>
      </c>
    </row>
    <row r="53" spans="1:39" ht="21" thickTop="1" thickBot="1">
      <c r="A53" s="160" t="s">
        <v>133</v>
      </c>
      <c r="B53" s="209"/>
      <c r="C53" s="209"/>
      <c r="D53" s="244" t="s">
        <v>522</v>
      </c>
      <c r="E53" s="245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53</v>
      </c>
      <c r="D54" s="195" t="s">
        <v>523</v>
      </c>
      <c r="E54" s="194" t="s">
        <v>219</v>
      </c>
      <c r="F54" s="74" t="s">
        <v>335</v>
      </c>
      <c r="G54" s="74" t="s">
        <v>335</v>
      </c>
      <c r="H54" s="74" t="s">
        <v>524</v>
      </c>
      <c r="I54" s="74" t="s">
        <v>374</v>
      </c>
      <c r="J54" s="74" t="s">
        <v>335</v>
      </c>
      <c r="K54" s="74" t="s">
        <v>375</v>
      </c>
      <c r="L54" s="74" t="s">
        <v>376</v>
      </c>
      <c r="M54" s="74" t="s">
        <v>335</v>
      </c>
      <c r="N54" s="74" t="s">
        <v>377</v>
      </c>
      <c r="O54" s="74" t="s">
        <v>196</v>
      </c>
      <c r="P54" s="74" t="s">
        <v>268</v>
      </c>
      <c r="Q54" s="74" t="s">
        <v>268</v>
      </c>
      <c r="R54" s="74" t="s">
        <v>335</v>
      </c>
      <c r="S54" s="74" t="s">
        <v>335</v>
      </c>
      <c r="T54" s="74" t="s">
        <v>378</v>
      </c>
      <c r="U54" s="74" t="s">
        <v>379</v>
      </c>
      <c r="V54" s="74" t="s">
        <v>433</v>
      </c>
      <c r="W54" s="74" t="s">
        <v>335</v>
      </c>
      <c r="X54" s="74" t="s">
        <v>381</v>
      </c>
      <c r="Y54" s="74" t="s">
        <v>382</v>
      </c>
      <c r="Z54" s="74" t="s">
        <v>383</v>
      </c>
      <c r="AA54" s="74" t="s">
        <v>345</v>
      </c>
      <c r="AB54" s="74" t="s">
        <v>335</v>
      </c>
      <c r="AC54" s="74" t="s">
        <v>335</v>
      </c>
      <c r="AD54" s="74" t="s">
        <v>345</v>
      </c>
      <c r="AE54" s="74" t="s">
        <v>335</v>
      </c>
      <c r="AF54" s="74" t="s">
        <v>345</v>
      </c>
      <c r="AG54" s="74" t="s">
        <v>335</v>
      </c>
      <c r="AH54" s="74" t="s">
        <v>345</v>
      </c>
      <c r="AI54" s="74" t="s">
        <v>345</v>
      </c>
      <c r="AJ54" s="74" t="s">
        <v>345</v>
      </c>
      <c r="AK54" s="74" t="s">
        <v>345</v>
      </c>
      <c r="AL54" s="74" t="s">
        <v>345</v>
      </c>
    </row>
    <row r="55" spans="1:39" ht="52" thickBot="1">
      <c r="A55" s="160" t="s">
        <v>139</v>
      </c>
      <c r="D55" s="195" t="s">
        <v>384</v>
      </c>
      <c r="E55" s="194" t="s">
        <v>322</v>
      </c>
      <c r="F55" s="74" t="s">
        <v>196</v>
      </c>
      <c r="G55" s="74" t="s">
        <v>385</v>
      </c>
      <c r="H55" s="74" t="s">
        <v>386</v>
      </c>
      <c r="I55" s="74" t="s">
        <v>387</v>
      </c>
      <c r="J55" s="74" t="s">
        <v>388</v>
      </c>
      <c r="K55" s="74" t="s">
        <v>525</v>
      </c>
      <c r="L55" s="74" t="s">
        <v>335</v>
      </c>
      <c r="M55" s="74" t="s">
        <v>390</v>
      </c>
      <c r="N55" s="74" t="s">
        <v>391</v>
      </c>
      <c r="O55" s="74" t="s">
        <v>392</v>
      </c>
      <c r="P55" s="74" t="s">
        <v>196</v>
      </c>
      <c r="Q55" s="74" t="s">
        <v>335</v>
      </c>
      <c r="R55" s="74" t="s">
        <v>345</v>
      </c>
      <c r="S55" s="74" t="s">
        <v>394</v>
      </c>
      <c r="T55" s="74" t="s">
        <v>395</v>
      </c>
      <c r="U55" s="74" t="s">
        <v>335</v>
      </c>
      <c r="V55" s="74" t="s">
        <v>335</v>
      </c>
      <c r="W55" s="74" t="s">
        <v>335</v>
      </c>
      <c r="X55" s="74" t="s">
        <v>196</v>
      </c>
      <c r="Y55" s="74" t="s">
        <v>335</v>
      </c>
      <c r="Z55" s="74" t="s">
        <v>396</v>
      </c>
      <c r="AA55" s="74" t="s">
        <v>335</v>
      </c>
      <c r="AB55" s="74" t="s">
        <v>394</v>
      </c>
      <c r="AC55" s="74" t="s">
        <v>394</v>
      </c>
      <c r="AD55" s="74" t="s">
        <v>345</v>
      </c>
      <c r="AE55" s="74" t="s">
        <v>345</v>
      </c>
      <c r="AF55" s="74" t="s">
        <v>345</v>
      </c>
      <c r="AG55" s="74" t="s">
        <v>335</v>
      </c>
      <c r="AH55" s="74" t="s">
        <v>345</v>
      </c>
      <c r="AI55" s="74" t="s">
        <v>345</v>
      </c>
      <c r="AJ55" s="74" t="s">
        <v>345</v>
      </c>
      <c r="AK55" s="74" t="s">
        <v>345</v>
      </c>
      <c r="AL55" s="69" t="s">
        <v>335</v>
      </c>
    </row>
    <row r="56" spans="1:39" ht="103" thickBot="1">
      <c r="A56" s="160" t="s">
        <v>141</v>
      </c>
      <c r="D56" s="195" t="s">
        <v>226</v>
      </c>
      <c r="E56" s="194" t="s">
        <v>397</v>
      </c>
      <c r="F56" s="74" t="s">
        <v>335</v>
      </c>
      <c r="G56" s="74" t="s">
        <v>398</v>
      </c>
      <c r="H56" s="74" t="s">
        <v>399</v>
      </c>
      <c r="I56" s="74" t="s">
        <v>400</v>
      </c>
      <c r="J56" s="74" t="s">
        <v>398</v>
      </c>
      <c r="K56" s="74" t="s">
        <v>526</v>
      </c>
      <c r="L56" s="74" t="s">
        <v>402</v>
      </c>
      <c r="M56" s="74" t="s">
        <v>403</v>
      </c>
      <c r="N56" s="74" t="s">
        <v>404</v>
      </c>
      <c r="O56" s="74" t="s">
        <v>335</v>
      </c>
      <c r="P56" s="74" t="s">
        <v>405</v>
      </c>
      <c r="Q56" s="74" t="s">
        <v>406</v>
      </c>
      <c r="R56" s="74" t="s">
        <v>335</v>
      </c>
      <c r="S56" s="74" t="s">
        <v>394</v>
      </c>
      <c r="T56" s="74" t="s">
        <v>395</v>
      </c>
      <c r="U56" s="74" t="s">
        <v>335</v>
      </c>
      <c r="V56" s="74" t="s">
        <v>335</v>
      </c>
      <c r="W56" s="74" t="s">
        <v>335</v>
      </c>
      <c r="X56" s="74" t="s">
        <v>196</v>
      </c>
      <c r="Y56" s="74" t="s">
        <v>335</v>
      </c>
      <c r="Z56" s="74" t="s">
        <v>407</v>
      </c>
      <c r="AA56" s="74" t="s">
        <v>335</v>
      </c>
      <c r="AB56" s="74" t="s">
        <v>408</v>
      </c>
      <c r="AC56" s="74" t="s">
        <v>394</v>
      </c>
      <c r="AD56" s="74" t="s">
        <v>345</v>
      </c>
      <c r="AE56" s="74" t="s">
        <v>335</v>
      </c>
      <c r="AF56" s="74" t="s">
        <v>345</v>
      </c>
      <c r="AG56" s="74" t="s">
        <v>345</v>
      </c>
      <c r="AH56" s="74" t="s">
        <v>345</v>
      </c>
      <c r="AI56" s="74" t="s">
        <v>345</v>
      </c>
      <c r="AJ56" s="74" t="s">
        <v>345</v>
      </c>
      <c r="AK56" s="74" t="s">
        <v>345</v>
      </c>
      <c r="AL56" s="74" t="s">
        <v>345</v>
      </c>
    </row>
    <row r="57" spans="1:39" ht="52" thickBot="1">
      <c r="A57" s="160" t="s">
        <v>140</v>
      </c>
      <c r="D57" s="195" t="s">
        <v>231</v>
      </c>
      <c r="E57" s="194" t="s">
        <v>410</v>
      </c>
      <c r="F57" s="74" t="s">
        <v>411</v>
      </c>
      <c r="G57" s="74"/>
      <c r="H57" s="74" t="s">
        <v>527</v>
      </c>
      <c r="I57" s="74" t="s">
        <v>413</v>
      </c>
      <c r="K57" s="74" t="s">
        <v>528</v>
      </c>
      <c r="L57" s="74" t="s">
        <v>415</v>
      </c>
      <c r="M57" s="74" t="s">
        <v>416</v>
      </c>
      <c r="N57" s="74" t="s">
        <v>417</v>
      </c>
      <c r="O57" s="74" t="s">
        <v>335</v>
      </c>
      <c r="P57" s="74" t="s">
        <v>419</v>
      </c>
      <c r="Q57" s="74" t="s">
        <v>420</v>
      </c>
      <c r="R57" s="74" t="s">
        <v>335</v>
      </c>
      <c r="S57" s="74" t="s">
        <v>335</v>
      </c>
      <c r="T57" s="74" t="s">
        <v>421</v>
      </c>
      <c r="U57" s="74" t="s">
        <v>422</v>
      </c>
      <c r="V57" s="74" t="s">
        <v>335</v>
      </c>
      <c r="W57" s="74" t="s">
        <v>345</v>
      </c>
      <c r="X57" s="74" t="s">
        <v>335</v>
      </c>
      <c r="Y57" s="74" t="s">
        <v>335</v>
      </c>
      <c r="Z57" s="74" t="s">
        <v>290</v>
      </c>
      <c r="AA57" s="74" t="s">
        <v>335</v>
      </c>
      <c r="AB57" s="74" t="s">
        <v>423</v>
      </c>
      <c r="AC57" s="74" t="s">
        <v>335</v>
      </c>
      <c r="AD57" s="74" t="s">
        <v>345</v>
      </c>
      <c r="AE57" s="74" t="s">
        <v>335</v>
      </c>
      <c r="AF57" s="74" t="s">
        <v>345</v>
      </c>
      <c r="AG57" s="74" t="s">
        <v>345</v>
      </c>
      <c r="AH57" s="74" t="s">
        <v>345</v>
      </c>
      <c r="AI57" s="74" t="s">
        <v>345</v>
      </c>
      <c r="AJ57" s="74" t="s">
        <v>345</v>
      </c>
      <c r="AK57" s="74" t="s">
        <v>345</v>
      </c>
      <c r="AL57" s="74" t="s">
        <v>345</v>
      </c>
    </row>
    <row r="58" spans="1:39" ht="52" thickBot="1">
      <c r="A58" s="160" t="s">
        <v>135</v>
      </c>
      <c r="B58" s="74" t="s">
        <v>425</v>
      </c>
      <c r="D58" s="195" t="s">
        <v>529</v>
      </c>
      <c r="E58" s="194" t="s">
        <v>427</v>
      </c>
      <c r="F58" s="74" t="s">
        <v>335</v>
      </c>
      <c r="G58" s="74" t="s">
        <v>335</v>
      </c>
      <c r="H58" s="74" t="s">
        <v>428</v>
      </c>
      <c r="I58" s="74" t="s">
        <v>429</v>
      </c>
      <c r="J58" s="74" t="s">
        <v>335</v>
      </c>
      <c r="K58" s="74" t="s">
        <v>430</v>
      </c>
      <c r="L58" s="74" t="s">
        <v>335</v>
      </c>
      <c r="M58" s="74" t="s">
        <v>335</v>
      </c>
      <c r="N58" s="74" t="s">
        <v>431</v>
      </c>
      <c r="O58" s="74" t="s">
        <v>335</v>
      </c>
      <c r="P58" s="74" t="s">
        <v>335</v>
      </c>
      <c r="Q58" s="74" t="s">
        <v>335</v>
      </c>
      <c r="R58" s="74" t="s">
        <v>432</v>
      </c>
      <c r="S58" s="74" t="s">
        <v>433</v>
      </c>
      <c r="T58" s="74" t="s">
        <v>434</v>
      </c>
      <c r="U58" s="74" t="s">
        <v>335</v>
      </c>
      <c r="V58" s="74" t="s">
        <v>335</v>
      </c>
      <c r="W58" s="74" t="s">
        <v>335</v>
      </c>
      <c r="X58" s="74" t="s">
        <v>433</v>
      </c>
      <c r="Y58" s="74" t="s">
        <v>311</v>
      </c>
      <c r="Z58" s="74" t="s">
        <v>433</v>
      </c>
      <c r="AA58" s="74" t="s">
        <v>335</v>
      </c>
      <c r="AB58" s="74" t="s">
        <v>381</v>
      </c>
      <c r="AC58" s="74" t="s">
        <v>335</v>
      </c>
      <c r="AD58" s="74" t="s">
        <v>433</v>
      </c>
      <c r="AE58" s="74" t="s">
        <v>335</v>
      </c>
      <c r="AF58" s="74" t="s">
        <v>335</v>
      </c>
      <c r="AG58" s="74" t="s">
        <v>435</v>
      </c>
      <c r="AH58" s="74" t="s">
        <v>345</v>
      </c>
      <c r="AI58" s="74" t="s">
        <v>335</v>
      </c>
      <c r="AJ58" s="74" t="s">
        <v>345</v>
      </c>
      <c r="AK58" s="74" t="s">
        <v>345</v>
      </c>
      <c r="AL58" s="74" t="s">
        <v>345</v>
      </c>
      <c r="AM58" s="74" t="s">
        <v>345</v>
      </c>
    </row>
    <row r="59" spans="1:39" ht="21" thickTop="1" thickBot="1">
      <c r="A59" s="160" t="s">
        <v>142</v>
      </c>
      <c r="D59" s="244" t="s">
        <v>530</v>
      </c>
      <c r="E59" s="245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136</v>
      </c>
      <c r="D60" s="195" t="s">
        <v>248</v>
      </c>
      <c r="E60" s="194" t="s">
        <v>437</v>
      </c>
      <c r="F60" s="74" t="s">
        <v>196</v>
      </c>
      <c r="G60" s="74" t="s">
        <v>438</v>
      </c>
      <c r="H60" s="74" t="s">
        <v>439</v>
      </c>
      <c r="I60" s="74" t="s">
        <v>440</v>
      </c>
      <c r="J60" s="74" t="s">
        <v>438</v>
      </c>
      <c r="K60" s="74" t="s">
        <v>441</v>
      </c>
      <c r="L60" s="74" t="s">
        <v>442</v>
      </c>
      <c r="M60" s="74" t="s">
        <v>443</v>
      </c>
      <c r="N60" s="74" t="s">
        <v>444</v>
      </c>
      <c r="O60" s="74" t="s">
        <v>392</v>
      </c>
      <c r="P60" s="74" t="s">
        <v>273</v>
      </c>
      <c r="Q60" s="74" t="s">
        <v>445</v>
      </c>
      <c r="R60" s="74" t="s">
        <v>345</v>
      </c>
      <c r="S60" s="74" t="s">
        <v>446</v>
      </c>
      <c r="T60" s="74" t="s">
        <v>395</v>
      </c>
      <c r="U60" s="74" t="s">
        <v>335</v>
      </c>
      <c r="V60" s="74" t="s">
        <v>335</v>
      </c>
      <c r="W60" s="74" t="s">
        <v>335</v>
      </c>
      <c r="X60" s="74" t="s">
        <v>196</v>
      </c>
      <c r="Y60" s="74" t="s">
        <v>447</v>
      </c>
      <c r="Z60" s="74" t="s">
        <v>448</v>
      </c>
      <c r="AA60" s="74" t="s">
        <v>335</v>
      </c>
      <c r="AB60" s="74" t="s">
        <v>441</v>
      </c>
      <c r="AC60" s="74" t="s">
        <v>335</v>
      </c>
      <c r="AD60" s="74" t="s">
        <v>345</v>
      </c>
      <c r="AE60" s="74" t="s">
        <v>345</v>
      </c>
      <c r="AF60" s="74" t="s">
        <v>345</v>
      </c>
      <c r="AG60" s="74" t="s">
        <v>335</v>
      </c>
      <c r="AH60" s="74" t="s">
        <v>345</v>
      </c>
      <c r="AI60" s="74" t="s">
        <v>345</v>
      </c>
      <c r="AJ60" s="74" t="s">
        <v>345</v>
      </c>
      <c r="AK60" s="74" t="s">
        <v>345</v>
      </c>
      <c r="AL60" s="74" t="s">
        <v>335</v>
      </c>
    </row>
    <row r="61" spans="1:39" ht="69" thickBot="1">
      <c r="A61" s="160" t="s">
        <v>137</v>
      </c>
      <c r="D61" s="195" t="s">
        <v>287</v>
      </c>
      <c r="E61" s="194" t="s">
        <v>449</v>
      </c>
      <c r="F61" s="74" t="s">
        <v>290</v>
      </c>
      <c r="G61" s="74" t="s">
        <v>335</v>
      </c>
      <c r="H61" s="74" t="s">
        <v>531</v>
      </c>
      <c r="I61" s="74" t="s">
        <v>451</v>
      </c>
      <c r="J61" s="74" t="s">
        <v>335</v>
      </c>
      <c r="K61" s="74" t="s">
        <v>459</v>
      </c>
      <c r="L61" s="74" t="s">
        <v>453</v>
      </c>
      <c r="M61" s="74" t="s">
        <v>416</v>
      </c>
      <c r="N61" s="74" t="s">
        <v>454</v>
      </c>
      <c r="O61" s="74" t="s">
        <v>335</v>
      </c>
      <c r="P61" s="74" t="s">
        <v>455</v>
      </c>
      <c r="Q61" s="74" t="s">
        <v>456</v>
      </c>
      <c r="R61" s="74" t="s">
        <v>335</v>
      </c>
      <c r="S61" s="74" t="s">
        <v>433</v>
      </c>
      <c r="T61" s="74" t="s">
        <v>290</v>
      </c>
      <c r="U61" s="74" t="s">
        <v>290</v>
      </c>
      <c r="V61" s="74" t="s">
        <v>335</v>
      </c>
      <c r="W61" s="74" t="s">
        <v>345</v>
      </c>
      <c r="X61" s="74" t="s">
        <v>335</v>
      </c>
      <c r="Y61" s="74" t="s">
        <v>335</v>
      </c>
      <c r="Z61" s="74" t="s">
        <v>458</v>
      </c>
      <c r="AA61" s="74" t="s">
        <v>335</v>
      </c>
      <c r="AB61" s="74" t="s">
        <v>459</v>
      </c>
      <c r="AC61" s="74" t="s">
        <v>335</v>
      </c>
      <c r="AD61" s="74" t="s">
        <v>345</v>
      </c>
      <c r="AE61" s="74" t="s">
        <v>335</v>
      </c>
      <c r="AF61" s="74" t="s">
        <v>345</v>
      </c>
      <c r="AG61" s="74" t="s">
        <v>335</v>
      </c>
      <c r="AH61" s="74" t="s">
        <v>345</v>
      </c>
      <c r="AI61" s="74" t="s">
        <v>345</v>
      </c>
      <c r="AJ61" s="74" t="s">
        <v>345</v>
      </c>
      <c r="AK61" s="74" t="s">
        <v>345</v>
      </c>
      <c r="AL61" s="74" t="s">
        <v>335</v>
      </c>
    </row>
    <row r="62" spans="1:39" ht="52" thickBot="1">
      <c r="A62" s="160" t="s">
        <v>143</v>
      </c>
      <c r="C62" s="74" t="s">
        <v>328</v>
      </c>
      <c r="D62" s="195" t="s">
        <v>263</v>
      </c>
      <c r="E62" s="194" t="s">
        <v>329</v>
      </c>
      <c r="F62" s="74" t="s">
        <v>335</v>
      </c>
      <c r="G62" s="74" t="s">
        <v>335</v>
      </c>
      <c r="H62" s="74" t="s">
        <v>462</v>
      </c>
      <c r="I62" s="74" t="s">
        <v>461</v>
      </c>
      <c r="J62" s="74" t="s">
        <v>335</v>
      </c>
      <c r="K62" s="74" t="s">
        <v>463</v>
      </c>
      <c r="L62" s="74" t="s">
        <v>463</v>
      </c>
      <c r="M62" s="74" t="s">
        <v>206</v>
      </c>
      <c r="N62" s="74" t="s">
        <v>262</v>
      </c>
      <c r="O62" s="74" t="s">
        <v>335</v>
      </c>
      <c r="P62" s="74" t="s">
        <v>465</v>
      </c>
      <c r="Q62" s="74" t="s">
        <v>433</v>
      </c>
      <c r="R62" s="74" t="s">
        <v>335</v>
      </c>
      <c r="S62" s="74" t="s">
        <v>466</v>
      </c>
      <c r="T62" s="74" t="s">
        <v>433</v>
      </c>
      <c r="U62" s="74" t="s">
        <v>311</v>
      </c>
      <c r="V62" s="74" t="s">
        <v>345</v>
      </c>
      <c r="W62" s="74" t="s">
        <v>335</v>
      </c>
      <c r="X62" s="74" t="s">
        <v>335</v>
      </c>
      <c r="Y62" s="74" t="s">
        <v>282</v>
      </c>
      <c r="Z62" s="74" t="s">
        <v>285</v>
      </c>
      <c r="AA62" s="74" t="s">
        <v>335</v>
      </c>
      <c r="AB62" s="74" t="s">
        <v>467</v>
      </c>
      <c r="AC62" s="74" t="s">
        <v>335</v>
      </c>
      <c r="AD62" s="74" t="s">
        <v>345</v>
      </c>
      <c r="AE62" s="74" t="s">
        <v>335</v>
      </c>
      <c r="AF62" s="74" t="s">
        <v>345</v>
      </c>
      <c r="AG62" s="74" t="s">
        <v>335</v>
      </c>
      <c r="AH62" s="74" t="s">
        <v>345</v>
      </c>
      <c r="AI62" s="74" t="s">
        <v>345</v>
      </c>
      <c r="AJ62" s="74" t="s">
        <v>345</v>
      </c>
      <c r="AK62" s="74" t="s">
        <v>345</v>
      </c>
      <c r="AL62" s="74" t="s">
        <v>335</v>
      </c>
    </row>
    <row r="63" spans="1:39" ht="137" thickBot="1">
      <c r="A63" s="160" t="s">
        <v>144</v>
      </c>
      <c r="C63" s="74" t="s">
        <v>328</v>
      </c>
      <c r="D63" s="195" t="s">
        <v>295</v>
      </c>
      <c r="E63" s="194" t="s">
        <v>470</v>
      </c>
      <c r="F63" s="74" t="s">
        <v>335</v>
      </c>
      <c r="G63" s="74" t="s">
        <v>335</v>
      </c>
      <c r="H63" s="74" t="s">
        <v>471</v>
      </c>
      <c r="I63" s="74" t="s">
        <v>472</v>
      </c>
      <c r="J63" s="74" t="s">
        <v>335</v>
      </c>
      <c r="K63" s="74" t="s">
        <v>473</v>
      </c>
      <c r="L63" s="74" t="s">
        <v>474</v>
      </c>
      <c r="M63" s="74" t="s">
        <v>335</v>
      </c>
      <c r="N63" s="74" t="s">
        <v>475</v>
      </c>
      <c r="O63" s="74" t="s">
        <v>335</v>
      </c>
      <c r="P63" s="74" t="s">
        <v>476</v>
      </c>
      <c r="Q63" s="74" t="s">
        <v>477</v>
      </c>
      <c r="R63" s="74" t="s">
        <v>335</v>
      </c>
      <c r="S63" s="74" t="s">
        <v>478</v>
      </c>
      <c r="T63" s="74" t="s">
        <v>335</v>
      </c>
      <c r="U63" s="74" t="s">
        <v>215</v>
      </c>
      <c r="V63" s="74" t="s">
        <v>345</v>
      </c>
      <c r="W63" s="74" t="s">
        <v>335</v>
      </c>
      <c r="X63" s="74" t="s">
        <v>479</v>
      </c>
      <c r="Y63" s="74" t="s">
        <v>480</v>
      </c>
      <c r="Z63" s="74" t="s">
        <v>335</v>
      </c>
      <c r="AA63" s="74" t="s">
        <v>345</v>
      </c>
      <c r="AB63" s="74" t="s">
        <v>335</v>
      </c>
      <c r="AC63" s="74" t="s">
        <v>435</v>
      </c>
      <c r="AD63" s="74" t="s">
        <v>345</v>
      </c>
      <c r="AE63" s="74" t="s">
        <v>335</v>
      </c>
      <c r="AF63" s="74" t="s">
        <v>345</v>
      </c>
      <c r="AG63" s="74" t="s">
        <v>345</v>
      </c>
      <c r="AH63" s="74" t="s">
        <v>345</v>
      </c>
      <c r="AI63" s="74" t="s">
        <v>345</v>
      </c>
      <c r="AJ63" s="74" t="s">
        <v>345</v>
      </c>
      <c r="AK63" s="74" t="s">
        <v>345</v>
      </c>
      <c r="AL63" s="74" t="s">
        <v>345</v>
      </c>
    </row>
    <row r="64" spans="1:39" ht="86" thickBot="1">
      <c r="A64" s="160" t="s">
        <v>134</v>
      </c>
      <c r="C64" s="74" t="s">
        <v>328</v>
      </c>
      <c r="D64" s="195" t="s">
        <v>481</v>
      </c>
      <c r="E64" s="194" t="s">
        <v>482</v>
      </c>
      <c r="F64" s="74" t="s">
        <v>335</v>
      </c>
      <c r="G64" s="74" t="s">
        <v>335</v>
      </c>
      <c r="H64" s="74" t="s">
        <v>532</v>
      </c>
      <c r="I64" s="74" t="s">
        <v>484</v>
      </c>
      <c r="J64" s="74" t="s">
        <v>335</v>
      </c>
      <c r="K64" s="74" t="s">
        <v>533</v>
      </c>
      <c r="L64" s="74" t="s">
        <v>486</v>
      </c>
      <c r="M64" s="74" t="s">
        <v>335</v>
      </c>
      <c r="N64" s="74" t="s">
        <v>475</v>
      </c>
      <c r="O64" s="74" t="s">
        <v>335</v>
      </c>
      <c r="P64" s="74" t="s">
        <v>487</v>
      </c>
      <c r="Q64" s="74" t="s">
        <v>477</v>
      </c>
      <c r="R64" s="74" t="s">
        <v>335</v>
      </c>
      <c r="S64" s="74" t="s">
        <v>488</v>
      </c>
      <c r="T64" s="74" t="s">
        <v>335</v>
      </c>
      <c r="U64" s="74" t="s">
        <v>335</v>
      </c>
      <c r="V64" s="74" t="s">
        <v>345</v>
      </c>
      <c r="W64" s="74" t="s">
        <v>335</v>
      </c>
      <c r="X64" s="74" t="s">
        <v>489</v>
      </c>
      <c r="Y64" s="74" t="s">
        <v>490</v>
      </c>
      <c r="Z64" s="74" t="s">
        <v>435</v>
      </c>
      <c r="AA64" s="74" t="s">
        <v>335</v>
      </c>
      <c r="AB64" s="74" t="s">
        <v>335</v>
      </c>
      <c r="AC64" s="74" t="s">
        <v>435</v>
      </c>
      <c r="AD64" s="74" t="s">
        <v>345</v>
      </c>
      <c r="AE64" s="74" t="s">
        <v>335</v>
      </c>
      <c r="AF64" s="74" t="s">
        <v>345</v>
      </c>
      <c r="AG64" s="74" t="s">
        <v>345</v>
      </c>
      <c r="AH64" s="74" t="s">
        <v>345</v>
      </c>
      <c r="AI64" s="74" t="s">
        <v>345</v>
      </c>
      <c r="AJ64" s="74" t="s">
        <v>345</v>
      </c>
      <c r="AK64" s="74" t="s">
        <v>345</v>
      </c>
      <c r="AL64" s="74" t="s">
        <v>345</v>
      </c>
    </row>
    <row r="65" spans="1:42" ht="86" thickBot="1">
      <c r="A65" s="160" t="s">
        <v>138</v>
      </c>
      <c r="D65" s="195" t="s">
        <v>211</v>
      </c>
      <c r="E65" s="194" t="s">
        <v>491</v>
      </c>
      <c r="F65" s="74" t="s">
        <v>335</v>
      </c>
      <c r="G65" s="74" t="s">
        <v>335</v>
      </c>
      <c r="H65" s="74" t="s">
        <v>492</v>
      </c>
      <c r="I65" s="74" t="s">
        <v>493</v>
      </c>
      <c r="J65" s="74" t="s">
        <v>335</v>
      </c>
      <c r="K65" s="74" t="s">
        <v>494</v>
      </c>
      <c r="L65" s="74" t="s">
        <v>495</v>
      </c>
      <c r="M65" s="74" t="s">
        <v>335</v>
      </c>
      <c r="N65" s="74" t="s">
        <v>239</v>
      </c>
      <c r="O65" s="74" t="s">
        <v>335</v>
      </c>
      <c r="P65" s="74" t="s">
        <v>215</v>
      </c>
      <c r="Q65" s="74" t="s">
        <v>435</v>
      </c>
      <c r="R65" s="74" t="s">
        <v>345</v>
      </c>
      <c r="S65" s="74" t="s">
        <v>496</v>
      </c>
      <c r="T65" s="74" t="s">
        <v>534</v>
      </c>
      <c r="U65" s="74" t="s">
        <v>215</v>
      </c>
      <c r="V65" s="74" t="s">
        <v>345</v>
      </c>
      <c r="W65" s="74" t="s">
        <v>335</v>
      </c>
      <c r="X65" s="74" t="s">
        <v>499</v>
      </c>
      <c r="Y65" s="74" t="s">
        <v>500</v>
      </c>
      <c r="Z65" s="74" t="s">
        <v>335</v>
      </c>
      <c r="AA65" s="74" t="s">
        <v>345</v>
      </c>
      <c r="AB65" s="74" t="s">
        <v>335</v>
      </c>
      <c r="AC65" s="74" t="s">
        <v>335</v>
      </c>
      <c r="AD65" s="74" t="s">
        <v>345</v>
      </c>
      <c r="AE65" s="74" t="s">
        <v>345</v>
      </c>
      <c r="AF65" s="74" t="s">
        <v>345</v>
      </c>
      <c r="AG65" s="74" t="s">
        <v>345</v>
      </c>
      <c r="AH65" s="74" t="s">
        <v>345</v>
      </c>
      <c r="AI65" s="74" t="s">
        <v>345</v>
      </c>
      <c r="AJ65" s="74" t="s">
        <v>345</v>
      </c>
      <c r="AK65" s="74" t="s">
        <v>345</v>
      </c>
      <c r="AL65" s="74" t="s">
        <v>345</v>
      </c>
    </row>
    <row r="66" spans="1:42" ht="86" thickBot="1">
      <c r="A66" s="159" t="s">
        <v>277</v>
      </c>
      <c r="D66" s="195" t="s">
        <v>535</v>
      </c>
      <c r="E66" s="194" t="s">
        <v>536</v>
      </c>
      <c r="F66" s="74" t="s">
        <v>335</v>
      </c>
      <c r="G66" s="74" t="s">
        <v>537</v>
      </c>
      <c r="H66" s="74" t="s">
        <v>538</v>
      </c>
      <c r="I66" s="74" t="s">
        <v>539</v>
      </c>
      <c r="J66" s="74" t="s">
        <v>537</v>
      </c>
      <c r="K66" s="74" t="s">
        <v>540</v>
      </c>
      <c r="L66" s="74" t="s">
        <v>435</v>
      </c>
      <c r="M66" s="74" t="s">
        <v>335</v>
      </c>
      <c r="N66" s="74" t="s">
        <v>541</v>
      </c>
      <c r="O66" s="74" t="s">
        <v>335</v>
      </c>
      <c r="P66" s="74" t="s">
        <v>542</v>
      </c>
      <c r="Q66" s="74" t="s">
        <v>335</v>
      </c>
      <c r="R66" s="74" t="s">
        <v>335</v>
      </c>
      <c r="S66" s="74" t="s">
        <v>435</v>
      </c>
      <c r="T66" s="74" t="s">
        <v>335</v>
      </c>
      <c r="U66" s="74" t="s">
        <v>335</v>
      </c>
      <c r="V66" s="74" t="s">
        <v>345</v>
      </c>
      <c r="W66" s="74" t="s">
        <v>335</v>
      </c>
      <c r="X66" s="74" t="s">
        <v>489</v>
      </c>
      <c r="Y66" s="74" t="s">
        <v>335</v>
      </c>
      <c r="Z66" s="74" t="s">
        <v>435</v>
      </c>
      <c r="AA66" s="74" t="s">
        <v>335</v>
      </c>
      <c r="AB66" s="74" t="s">
        <v>335</v>
      </c>
      <c r="AC66" s="74" t="s">
        <v>435</v>
      </c>
      <c r="AD66" s="74" t="s">
        <v>345</v>
      </c>
      <c r="AE66" s="74" t="s">
        <v>335</v>
      </c>
      <c r="AF66" s="74" t="s">
        <v>345</v>
      </c>
      <c r="AG66" s="74" t="s">
        <v>345</v>
      </c>
      <c r="AH66" s="74" t="s">
        <v>345</v>
      </c>
      <c r="AI66" s="74" t="s">
        <v>345</v>
      </c>
      <c r="AJ66" s="74" t="s">
        <v>345</v>
      </c>
      <c r="AK66" s="74" t="s">
        <v>345</v>
      </c>
      <c r="AL66" s="74" t="s">
        <v>345</v>
      </c>
    </row>
    <row r="67" spans="1:42" ht="86" thickBot="1">
      <c r="C67" s="74" t="s">
        <v>543</v>
      </c>
      <c r="D67" s="195" t="s">
        <v>544</v>
      </c>
      <c r="E67" s="194" t="s">
        <v>545</v>
      </c>
      <c r="F67" s="74" t="s">
        <v>335</v>
      </c>
      <c r="G67" s="74" t="s">
        <v>546</v>
      </c>
      <c r="H67" s="74" t="s">
        <v>547</v>
      </c>
      <c r="I67" s="74" t="s">
        <v>548</v>
      </c>
      <c r="J67" s="74" t="s">
        <v>546</v>
      </c>
      <c r="K67" s="74" t="s">
        <v>549</v>
      </c>
      <c r="L67" s="74" t="s">
        <v>335</v>
      </c>
      <c r="M67" s="74" t="s">
        <v>335</v>
      </c>
      <c r="N67" s="74" t="s">
        <v>550</v>
      </c>
      <c r="O67" s="74" t="s">
        <v>551</v>
      </c>
      <c r="P67" s="74" t="s">
        <v>552</v>
      </c>
      <c r="Q67" s="74" t="s">
        <v>553</v>
      </c>
      <c r="R67" s="74" t="s">
        <v>335</v>
      </c>
      <c r="S67" s="74" t="s">
        <v>335</v>
      </c>
      <c r="T67" s="74" t="s">
        <v>395</v>
      </c>
      <c r="U67" s="74" t="s">
        <v>335</v>
      </c>
      <c r="V67" s="74" t="s">
        <v>335</v>
      </c>
      <c r="W67" s="74" t="s">
        <v>335</v>
      </c>
      <c r="X67" s="74" t="s">
        <v>198</v>
      </c>
      <c r="Y67" s="74" t="s">
        <v>438</v>
      </c>
      <c r="Z67" s="74" t="s">
        <v>554</v>
      </c>
      <c r="AA67" s="74" t="s">
        <v>335</v>
      </c>
      <c r="AB67" s="74" t="s">
        <v>335</v>
      </c>
      <c r="AC67" s="74" t="s">
        <v>394</v>
      </c>
      <c r="AD67" s="74" t="s">
        <v>345</v>
      </c>
      <c r="AE67" s="74" t="s">
        <v>335</v>
      </c>
      <c r="AF67" s="74" t="s">
        <v>345</v>
      </c>
      <c r="AG67" s="74" t="s">
        <v>345</v>
      </c>
      <c r="AH67" s="74" t="s">
        <v>345</v>
      </c>
      <c r="AI67" s="74" t="s">
        <v>345</v>
      </c>
      <c r="AJ67" s="74" t="s">
        <v>345</v>
      </c>
      <c r="AK67" s="74" t="s">
        <v>345</v>
      </c>
      <c r="AL67" s="74" t="s">
        <v>345</v>
      </c>
    </row>
    <row r="68" spans="1:42" ht="35" thickBot="1">
      <c r="B68" s="74" t="s">
        <v>555</v>
      </c>
      <c r="D68" s="195" t="s">
        <v>333</v>
      </c>
      <c r="E68" s="194" t="s">
        <v>334</v>
      </c>
      <c r="F68" s="74" t="s">
        <v>335</v>
      </c>
      <c r="G68" s="74" t="s">
        <v>438</v>
      </c>
      <c r="H68" s="74" t="s">
        <v>502</v>
      </c>
      <c r="I68" s="74" t="s">
        <v>503</v>
      </c>
      <c r="J68" s="74" t="s">
        <v>438</v>
      </c>
      <c r="K68" s="200" t="s">
        <v>504</v>
      </c>
      <c r="L68" s="74" t="s">
        <v>335</v>
      </c>
      <c r="M68" s="74" t="s">
        <v>394</v>
      </c>
      <c r="N68" s="74" t="s">
        <v>406</v>
      </c>
      <c r="O68" s="74" t="s">
        <v>335</v>
      </c>
      <c r="P68" s="200" t="s">
        <v>392</v>
      </c>
      <c r="Q68" s="74" t="s">
        <v>335</v>
      </c>
      <c r="R68" s="74" t="s">
        <v>335</v>
      </c>
      <c r="S68" s="74" t="s">
        <v>406</v>
      </c>
      <c r="T68" s="74" t="s">
        <v>335</v>
      </c>
      <c r="U68" s="74" t="s">
        <v>345</v>
      </c>
      <c r="V68" s="74" t="s">
        <v>345</v>
      </c>
      <c r="W68" s="74" t="s">
        <v>394</v>
      </c>
      <c r="X68" s="74" t="s">
        <v>433</v>
      </c>
      <c r="Y68" s="74" t="s">
        <v>335</v>
      </c>
      <c r="Z68" s="74" t="s">
        <v>346</v>
      </c>
      <c r="AA68" s="74" t="s">
        <v>335</v>
      </c>
      <c r="AB68" s="74" t="s">
        <v>335</v>
      </c>
      <c r="AC68" s="74" t="s">
        <v>335</v>
      </c>
      <c r="AD68" s="74" t="s">
        <v>335</v>
      </c>
      <c r="AE68" s="74" t="s">
        <v>335</v>
      </c>
      <c r="AF68" s="74" t="s">
        <v>416</v>
      </c>
      <c r="AG68" s="74" t="s">
        <v>335</v>
      </c>
      <c r="AH68" s="74" t="s">
        <v>345</v>
      </c>
      <c r="AI68" s="74" t="s">
        <v>345</v>
      </c>
      <c r="AJ68" s="74" t="s">
        <v>345</v>
      </c>
      <c r="AK68" s="74" t="s">
        <v>345</v>
      </c>
      <c r="AL68" s="74" t="s">
        <v>345</v>
      </c>
      <c r="AM68" s="74" t="s">
        <v>345</v>
      </c>
      <c r="AN68" s="74" t="s">
        <v>345</v>
      </c>
      <c r="AO68" s="74" t="s">
        <v>345</v>
      </c>
      <c r="AP68" s="74" t="s">
        <v>345</v>
      </c>
    </row>
  </sheetData>
  <mergeCells count="20">
    <mergeCell ref="D53:E53"/>
    <mergeCell ref="D59:E59"/>
    <mergeCell ref="F3:J3"/>
    <mergeCell ref="F4:J4"/>
    <mergeCell ref="F5:J5"/>
    <mergeCell ref="F6:M6"/>
    <mergeCell ref="F7:J7"/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556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57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126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48</v>
      </c>
      <c r="E34" t="s">
        <v>23</v>
      </c>
      <c r="F34" t="s">
        <v>50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48</v>
      </c>
      <c r="E35" t="s">
        <v>23</v>
      </c>
      <c r="F35" t="s">
        <v>56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514</v>
      </c>
      <c r="E36" t="s">
        <v>23</v>
      </c>
      <c r="F36" t="s">
        <v>49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145</v>
      </c>
      <c r="N37" s="91" t="s">
        <v>557</v>
      </c>
      <c r="O37" s="91" t="s">
        <v>558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559</v>
      </c>
      <c r="N38" s="91" t="s">
        <v>557</v>
      </c>
      <c r="O38" s="91" t="s">
        <v>558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557</v>
      </c>
      <c r="O39" s="91" t="s">
        <v>558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57</v>
      </c>
      <c r="E40" t="s">
        <v>23</v>
      </c>
      <c r="F40" t="s">
        <v>72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57</v>
      </c>
      <c r="E41" t="s">
        <v>23</v>
      </c>
      <c r="F41" t="s">
        <v>73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57</v>
      </c>
      <c r="E42" t="s">
        <v>23</v>
      </c>
      <c r="F42" t="s">
        <v>75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57</v>
      </c>
      <c r="E43" t="s">
        <v>23</v>
      </c>
      <c r="F43" t="s">
        <v>74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560</v>
      </c>
    </row>
    <row r="44" spans="4:17">
      <c r="D44" t="s">
        <v>57</v>
      </c>
      <c r="E44" t="s">
        <v>23</v>
      </c>
      <c r="F44" t="s">
        <v>76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57</v>
      </c>
      <c r="N44" t="s">
        <v>561</v>
      </c>
    </row>
    <row r="45" spans="4:17">
      <c r="D45" s="94" t="s">
        <v>81</v>
      </c>
      <c r="E45" t="s">
        <v>23</v>
      </c>
      <c r="F45" t="s">
        <v>123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126</v>
      </c>
      <c r="N46" t="s">
        <v>562</v>
      </c>
    </row>
    <row r="47" spans="4:17">
      <c r="D47" s="94" t="s">
        <v>48</v>
      </c>
      <c r="E47" t="s">
        <v>424</v>
      </c>
      <c r="F47" t="s">
        <v>91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514</v>
      </c>
      <c r="N47" t="s">
        <v>563</v>
      </c>
    </row>
    <row r="48" spans="4:17">
      <c r="D48" s="94" t="s">
        <v>564</v>
      </c>
      <c r="E48" t="s">
        <v>27</v>
      </c>
      <c r="F48" t="s">
        <v>38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514</v>
      </c>
      <c r="E49" t="s">
        <v>27</v>
      </c>
      <c r="F49" t="s">
        <v>86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514</v>
      </c>
      <c r="E50" t="s">
        <v>27</v>
      </c>
      <c r="F50" t="s">
        <v>85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48</v>
      </c>
      <c r="E51" t="s">
        <v>27</v>
      </c>
      <c r="F51" t="s">
        <v>90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81</v>
      </c>
      <c r="E52" t="s">
        <v>27</v>
      </c>
      <c r="F52" t="s">
        <v>82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48</v>
      </c>
      <c r="E53" t="s">
        <v>27</v>
      </c>
      <c r="F53" t="s">
        <v>87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78</v>
      </c>
      <c r="E54" t="s">
        <v>27</v>
      </c>
      <c r="F54" t="s">
        <v>79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78</v>
      </c>
      <c r="E55" t="s">
        <v>27</v>
      </c>
      <c r="F55" t="s">
        <v>80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48</v>
      </c>
      <c r="E56" t="s">
        <v>27</v>
      </c>
      <c r="F56" t="s">
        <v>93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48</v>
      </c>
      <c r="E57" t="s">
        <v>27</v>
      </c>
      <c r="F57" t="s">
        <v>88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78</v>
      </c>
      <c r="E58" t="s">
        <v>27</v>
      </c>
      <c r="F58" t="s">
        <v>121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81</v>
      </c>
      <c r="E59" t="s">
        <v>27</v>
      </c>
      <c r="F59" t="s">
        <v>83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81</v>
      </c>
      <c r="E60" t="s">
        <v>27</v>
      </c>
      <c r="F60" t="s">
        <v>125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48</v>
      </c>
      <c r="E61" t="s">
        <v>27</v>
      </c>
      <c r="F61" t="s">
        <v>128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48</v>
      </c>
      <c r="E62" t="s">
        <v>27</v>
      </c>
      <c r="F62" t="s">
        <v>84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565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41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57</v>
      </c>
      <c r="E70" t="s">
        <v>27</v>
      </c>
      <c r="F70" t="s">
        <v>60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57</v>
      </c>
      <c r="E71" t="s">
        <v>27</v>
      </c>
      <c r="F71" t="s">
        <v>59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57</v>
      </c>
      <c r="E72" t="s">
        <v>27</v>
      </c>
      <c r="F72" t="s">
        <v>64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57</v>
      </c>
      <c r="E73" t="s">
        <v>27</v>
      </c>
      <c r="F73" t="s">
        <v>69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57</v>
      </c>
      <c r="E74" t="s">
        <v>27</v>
      </c>
      <c r="F74" t="s">
        <v>70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48</v>
      </c>
      <c r="E77" t="s">
        <v>34</v>
      </c>
      <c r="F77" t="s">
        <v>102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81</v>
      </c>
      <c r="E78" t="s">
        <v>34</v>
      </c>
      <c r="F78" t="s">
        <v>99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48</v>
      </c>
      <c r="E79" t="s">
        <v>34</v>
      </c>
      <c r="F79" t="s">
        <v>101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78</v>
      </c>
      <c r="E80" t="s">
        <v>34</v>
      </c>
      <c r="F80" t="s">
        <v>98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78</v>
      </c>
      <c r="E81" t="s">
        <v>34</v>
      </c>
      <c r="F81" t="s">
        <v>97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40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57</v>
      </c>
      <c r="E83" t="s">
        <v>34</v>
      </c>
      <c r="F83" t="s">
        <v>71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57</v>
      </c>
      <c r="E84" t="s">
        <v>34</v>
      </c>
      <c r="F84" t="s">
        <v>63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57</v>
      </c>
      <c r="E85" s="97" t="s">
        <v>34</v>
      </c>
      <c r="F85" s="97" t="s">
        <v>77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48</v>
      </c>
      <c r="E87" t="s">
        <v>190</v>
      </c>
      <c r="F87" t="s">
        <v>108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78</v>
      </c>
      <c r="E88" t="s">
        <v>190</v>
      </c>
      <c r="F88" t="s">
        <v>106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48</v>
      </c>
      <c r="E89" t="s">
        <v>190</v>
      </c>
      <c r="F89" t="s">
        <v>109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48</v>
      </c>
      <c r="E90" t="s">
        <v>190</v>
      </c>
      <c r="F90" t="s">
        <v>111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81</v>
      </c>
      <c r="E91" t="s">
        <v>190</v>
      </c>
      <c r="F91" t="s">
        <v>107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48</v>
      </c>
      <c r="E92" t="s">
        <v>190</v>
      </c>
      <c r="F92" t="s">
        <v>113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48</v>
      </c>
      <c r="E93" t="s">
        <v>190</v>
      </c>
      <c r="F93" t="s">
        <v>112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57</v>
      </c>
      <c r="E94" t="s">
        <v>190</v>
      </c>
      <c r="F94" t="s">
        <v>62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57</v>
      </c>
      <c r="E95" t="s">
        <v>190</v>
      </c>
      <c r="F95" t="s">
        <v>67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190</v>
      </c>
      <c r="F96" t="s">
        <v>45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190</v>
      </c>
      <c r="F97" t="s">
        <v>46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190</v>
      </c>
      <c r="F98" t="s">
        <v>44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190</v>
      </c>
      <c r="F99" s="97" t="s">
        <v>43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48</v>
      </c>
      <c r="E101" t="s">
        <v>51</v>
      </c>
      <c r="F101" t="s">
        <v>132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78</v>
      </c>
      <c r="E102" t="s">
        <v>51</v>
      </c>
      <c r="F102" t="s">
        <v>97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48</v>
      </c>
      <c r="E103" t="s">
        <v>51</v>
      </c>
      <c r="F103" t="s">
        <v>130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48</v>
      </c>
      <c r="E104" t="s">
        <v>51</v>
      </c>
      <c r="F104" t="s">
        <v>110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119</v>
      </c>
      <c r="E105" t="s">
        <v>51</v>
      </c>
      <c r="F105" t="s">
        <v>120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57</v>
      </c>
      <c r="E106" t="s">
        <v>51</v>
      </c>
      <c r="F106" t="s">
        <v>58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57</v>
      </c>
      <c r="E107" t="s">
        <v>51</v>
      </c>
      <c r="F107" t="s">
        <v>65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57</v>
      </c>
      <c r="E108" s="97" t="s">
        <v>51</v>
      </c>
      <c r="F108" s="97" t="s">
        <v>40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48</v>
      </c>
      <c r="E110" t="s">
        <v>53</v>
      </c>
      <c r="F110" t="s">
        <v>142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48</v>
      </c>
      <c r="E111" t="s">
        <v>53</v>
      </c>
      <c r="F111" t="s">
        <v>143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48</v>
      </c>
      <c r="E112" t="s">
        <v>53</v>
      </c>
      <c r="F112" t="s">
        <v>141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48</v>
      </c>
      <c r="E113" t="s">
        <v>53</v>
      </c>
      <c r="F113" t="s">
        <v>139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81</v>
      </c>
      <c r="E114" t="s">
        <v>53</v>
      </c>
      <c r="F114" t="s">
        <v>135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81</v>
      </c>
      <c r="E115" t="s">
        <v>53</v>
      </c>
      <c r="F115" t="s">
        <v>136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81</v>
      </c>
      <c r="E116" t="s">
        <v>53</v>
      </c>
      <c r="F116" t="s">
        <v>137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117</v>
      </c>
      <c r="E117" t="s">
        <v>53</v>
      </c>
      <c r="F117" t="s">
        <v>118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119</v>
      </c>
      <c r="E118" t="s">
        <v>53</v>
      </c>
      <c r="F118" t="s">
        <v>140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57</v>
      </c>
      <c r="E119" t="s">
        <v>53</v>
      </c>
      <c r="F119" t="s">
        <v>61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53</v>
      </c>
      <c r="F120" t="s">
        <v>54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145</v>
      </c>
      <c r="N120" s="91" t="s">
        <v>150</v>
      </c>
      <c r="O120" s="91" t="s">
        <v>558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53</v>
      </c>
      <c r="F121" t="s">
        <v>55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559</v>
      </c>
      <c r="N121" s="91" t="s">
        <v>150</v>
      </c>
      <c r="O121" s="91" t="s">
        <v>558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57</v>
      </c>
      <c r="E122" s="97" t="s">
        <v>53</v>
      </c>
      <c r="F122" s="97" t="s">
        <v>66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566</v>
      </c>
      <c r="C2" s="144" t="s">
        <v>567</v>
      </c>
      <c r="D2" s="143" t="s">
        <v>568</v>
      </c>
      <c r="E2" s="263" t="s">
        <v>569</v>
      </c>
      <c r="F2" s="263"/>
      <c r="G2" s="263"/>
      <c r="H2" s="264" t="s">
        <v>570</v>
      </c>
      <c r="I2" s="264"/>
      <c r="J2" s="264"/>
      <c r="K2" s="265" t="s">
        <v>571</v>
      </c>
      <c r="L2" s="265"/>
      <c r="M2" s="265"/>
      <c r="N2" s="266" t="s">
        <v>572</v>
      </c>
      <c r="O2" s="266"/>
      <c r="P2" s="266"/>
      <c r="Q2" s="267" t="s">
        <v>573</v>
      </c>
      <c r="R2" s="267"/>
      <c r="S2" s="267"/>
      <c r="T2" s="268" t="s">
        <v>574</v>
      </c>
      <c r="U2" s="268"/>
      <c r="V2" s="268"/>
      <c r="W2" s="269" t="s">
        <v>575</v>
      </c>
      <c r="X2" s="269"/>
      <c r="Y2" s="269"/>
      <c r="Z2" s="259" t="s">
        <v>576</v>
      </c>
      <c r="AA2" s="259"/>
      <c r="AB2" s="260"/>
    </row>
    <row r="3" spans="2:28">
      <c r="C3" s="145" t="s">
        <v>577</v>
      </c>
      <c r="D3" s="261" t="s">
        <v>309</v>
      </c>
      <c r="AB3" s="115"/>
    </row>
    <row r="4" spans="2:28">
      <c r="C4" s="146" t="s">
        <v>578</v>
      </c>
      <c r="D4" s="261"/>
      <c r="AB4" s="115"/>
    </row>
    <row r="5" spans="2:28">
      <c r="C5" s="148" t="s">
        <v>579</v>
      </c>
      <c r="D5" s="262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577</v>
      </c>
      <c r="D6" s="261" t="s">
        <v>309</v>
      </c>
      <c r="AB6" s="115"/>
    </row>
    <row r="7" spans="2:28">
      <c r="C7" s="146" t="s">
        <v>578</v>
      </c>
      <c r="D7" s="261"/>
      <c r="AB7" s="115"/>
    </row>
    <row r="8" spans="2:28">
      <c r="C8" s="148" t="s">
        <v>579</v>
      </c>
      <c r="D8" s="262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577</v>
      </c>
      <c r="D9" s="261" t="s">
        <v>309</v>
      </c>
      <c r="AB9" s="115"/>
    </row>
    <row r="10" spans="2:28">
      <c r="C10" s="146" t="s">
        <v>578</v>
      </c>
      <c r="D10" s="261"/>
      <c r="AB10" s="115"/>
    </row>
    <row r="11" spans="2:28">
      <c r="C11" s="147" t="s">
        <v>579</v>
      </c>
      <c r="D11" s="261"/>
      <c r="AB11" s="115"/>
    </row>
    <row r="12" spans="2:28">
      <c r="C12" s="145" t="s">
        <v>577</v>
      </c>
      <c r="D12" s="261" t="s">
        <v>41</v>
      </c>
      <c r="AB12" s="115"/>
    </row>
    <row r="13" spans="2:28">
      <c r="C13" s="146" t="s">
        <v>578</v>
      </c>
      <c r="D13" s="261"/>
      <c r="AB13" s="115"/>
    </row>
    <row r="14" spans="2:28">
      <c r="C14" s="147" t="s">
        <v>579</v>
      </c>
      <c r="D14" s="261"/>
      <c r="AB14" s="115"/>
    </row>
    <row r="15" spans="2:28">
      <c r="C15" s="145" t="s">
        <v>577</v>
      </c>
      <c r="D15" s="261" t="s">
        <v>580</v>
      </c>
      <c r="AB15" s="115"/>
    </row>
    <row r="16" spans="2:28">
      <c r="C16" s="146" t="s">
        <v>578</v>
      </c>
      <c r="D16" s="261"/>
      <c r="AB16" s="115"/>
    </row>
    <row r="17" spans="3:28">
      <c r="C17" s="147" t="s">
        <v>579</v>
      </c>
      <c r="D17" s="261"/>
      <c r="AB17" s="115"/>
    </row>
    <row r="18" spans="3:28">
      <c r="C18" s="145" t="s">
        <v>577</v>
      </c>
      <c r="D18" s="261" t="s">
        <v>54</v>
      </c>
      <c r="AB18" s="115"/>
    </row>
    <row r="19" spans="3:28">
      <c r="C19" s="146" t="s">
        <v>578</v>
      </c>
      <c r="D19" s="261"/>
      <c r="AB19" s="115"/>
    </row>
    <row r="20" spans="3:28">
      <c r="C20" s="147" t="s">
        <v>579</v>
      </c>
      <c r="D20" s="261"/>
      <c r="AB20" s="115"/>
    </row>
    <row r="21" spans="3:28">
      <c r="C21" s="145" t="s">
        <v>577</v>
      </c>
      <c r="D21" s="261" t="s">
        <v>33</v>
      </c>
      <c r="AB21" s="115"/>
    </row>
    <row r="22" spans="3:28">
      <c r="C22" s="146" t="s">
        <v>578</v>
      </c>
      <c r="D22" s="261"/>
      <c r="AB22" s="115"/>
    </row>
    <row r="23" spans="3:28">
      <c r="C23" s="147" t="s">
        <v>579</v>
      </c>
      <c r="D23" s="261"/>
      <c r="AB23" s="115"/>
    </row>
    <row r="24" spans="3:28">
      <c r="C24" s="145" t="s">
        <v>577</v>
      </c>
      <c r="D24" s="261" t="s">
        <v>28</v>
      </c>
      <c r="AB24" s="115"/>
    </row>
    <row r="25" spans="3:28">
      <c r="C25" s="146" t="s">
        <v>578</v>
      </c>
      <c r="D25" s="261"/>
      <c r="AB25" s="115"/>
    </row>
    <row r="26" spans="3:28">
      <c r="C26" s="147" t="s">
        <v>579</v>
      </c>
      <c r="D26" s="261"/>
      <c r="AB26" s="115"/>
    </row>
    <row r="27" spans="3:28">
      <c r="C27" s="145" t="s">
        <v>577</v>
      </c>
      <c r="AB27" s="115"/>
    </row>
    <row r="28" spans="3:28">
      <c r="C28" s="146" t="s">
        <v>578</v>
      </c>
      <c r="AB28" s="115"/>
    </row>
    <row r="29" spans="3:28">
      <c r="C29" s="147" t="s">
        <v>579</v>
      </c>
      <c r="AB29" s="115"/>
    </row>
    <row r="30" spans="3:28">
      <c r="C30" s="145" t="s">
        <v>577</v>
      </c>
      <c r="AB30" s="115"/>
    </row>
    <row r="31" spans="3:28">
      <c r="C31" s="146" t="s">
        <v>578</v>
      </c>
      <c r="AB31" s="115"/>
    </row>
    <row r="32" spans="3:28">
      <c r="C32" s="147" t="s">
        <v>579</v>
      </c>
      <c r="AB32" s="115"/>
    </row>
    <row r="33" spans="3:28">
      <c r="C33" s="145" t="s">
        <v>577</v>
      </c>
      <c r="AB33" s="115"/>
    </row>
    <row r="34" spans="3:28">
      <c r="C34" s="146" t="s">
        <v>578</v>
      </c>
      <c r="AB34" s="115"/>
    </row>
    <row r="35" spans="3:28">
      <c r="C35" s="147" t="s">
        <v>579</v>
      </c>
      <c r="AB35" s="115"/>
    </row>
    <row r="36" spans="3:28">
      <c r="C36" s="145" t="s">
        <v>577</v>
      </c>
      <c r="AB36" s="115"/>
    </row>
    <row r="37" spans="3:28">
      <c r="C37" s="146" t="s">
        <v>578</v>
      </c>
      <c r="AB37" s="115"/>
    </row>
    <row r="38" spans="3:28">
      <c r="C38" s="147" t="s">
        <v>579</v>
      </c>
      <c r="AB38" s="115"/>
    </row>
    <row r="39" spans="3:28">
      <c r="C39" s="145" t="s">
        <v>577</v>
      </c>
      <c r="AB39" s="115"/>
    </row>
    <row r="40" spans="3:28">
      <c r="C40" s="146" t="s">
        <v>578</v>
      </c>
      <c r="AB40" s="115"/>
    </row>
    <row r="41" spans="3:28">
      <c r="C41" s="147" t="s">
        <v>579</v>
      </c>
      <c r="AB41" s="115"/>
    </row>
    <row r="42" spans="3:28">
      <c r="C42" s="145" t="s">
        <v>577</v>
      </c>
      <c r="AB42" s="115"/>
    </row>
    <row r="43" spans="3:28">
      <c r="C43" s="146" t="s">
        <v>578</v>
      </c>
      <c r="AB43" s="115"/>
    </row>
    <row r="44" spans="3:28">
      <c r="C44" s="147" t="s">
        <v>579</v>
      </c>
      <c r="AB44" s="115"/>
    </row>
    <row r="45" spans="3:28">
      <c r="C45" s="145" t="s">
        <v>577</v>
      </c>
      <c r="AB45" s="115"/>
    </row>
    <row r="46" spans="3:28">
      <c r="C46" s="146" t="s">
        <v>578</v>
      </c>
      <c r="AB46" s="115"/>
    </row>
    <row r="47" spans="3:28">
      <c r="C47" s="147" t="s">
        <v>579</v>
      </c>
      <c r="AB47" s="115"/>
    </row>
    <row r="48" spans="3:28">
      <c r="C48" s="145" t="s">
        <v>577</v>
      </c>
      <c r="AB48" s="115"/>
    </row>
    <row r="49" spans="3:28">
      <c r="C49" s="146" t="s">
        <v>578</v>
      </c>
      <c r="AB49" s="115"/>
    </row>
    <row r="50" spans="3:28">
      <c r="C50" s="147" t="s">
        <v>579</v>
      </c>
      <c r="AB50" s="115"/>
    </row>
    <row r="51" spans="3:28">
      <c r="C51" s="145" t="s">
        <v>577</v>
      </c>
      <c r="AB51" s="115"/>
    </row>
    <row r="52" spans="3:28">
      <c r="C52" s="146" t="s">
        <v>578</v>
      </c>
      <c r="AB52" s="115"/>
    </row>
    <row r="53" spans="3:28">
      <c r="C53" s="147" t="s">
        <v>579</v>
      </c>
      <c r="AB53" s="115"/>
    </row>
    <row r="54" spans="3:28">
      <c r="C54" s="145" t="s">
        <v>577</v>
      </c>
      <c r="AB54" s="115"/>
    </row>
    <row r="55" spans="3:28">
      <c r="C55" s="146" t="s">
        <v>578</v>
      </c>
      <c r="AB55" s="115"/>
    </row>
    <row r="56" spans="3:28">
      <c r="C56" s="147" t="s">
        <v>579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D15:D17"/>
    <mergeCell ref="D18:D20"/>
    <mergeCell ref="D21:D23"/>
    <mergeCell ref="D24:D26"/>
    <mergeCell ref="W2:Y2"/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581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582</v>
      </c>
      <c r="C2" s="87" t="s">
        <v>583</v>
      </c>
      <c r="D2" s="137" t="s">
        <v>584</v>
      </c>
      <c r="F2" t="s">
        <v>585</v>
      </c>
    </row>
    <row r="3" spans="2:13">
      <c r="B3" t="s">
        <v>586</v>
      </c>
      <c r="E3" t="s">
        <v>587</v>
      </c>
      <c r="F3">
        <v>0.5</v>
      </c>
    </row>
    <row r="5" spans="2:13" s="74" customFormat="1" ht="17">
      <c r="B5" s="138" t="s">
        <v>4</v>
      </c>
      <c r="C5" s="139" t="s">
        <v>588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589</v>
      </c>
    </row>
    <row r="6" spans="2:13" ht="85">
      <c r="B6" s="204" t="s">
        <v>590</v>
      </c>
      <c r="C6" s="205" t="s">
        <v>591</v>
      </c>
      <c r="D6" t="s">
        <v>145</v>
      </c>
      <c r="E6" t="s">
        <v>23</v>
      </c>
      <c r="F6" t="s">
        <v>50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592</v>
      </c>
      <c r="C7" s="205"/>
      <c r="D7" t="s">
        <v>145</v>
      </c>
      <c r="E7" t="s">
        <v>23</v>
      </c>
      <c r="F7" t="s">
        <v>56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593</v>
      </c>
      <c r="C8" s="205"/>
      <c r="D8" s="106" t="s">
        <v>145</v>
      </c>
      <c r="E8" s="106" t="s">
        <v>23</v>
      </c>
      <c r="F8" s="106" t="s">
        <v>594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595</v>
      </c>
    </row>
    <row r="9" spans="2:13">
      <c r="B9" s="204" t="s">
        <v>593</v>
      </c>
      <c r="C9" s="205"/>
      <c r="D9" t="s">
        <v>145</v>
      </c>
      <c r="E9" t="s">
        <v>23</v>
      </c>
      <c r="F9" t="s">
        <v>49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596</v>
      </c>
      <c r="C10" s="205" t="s">
        <v>597</v>
      </c>
      <c r="D10" t="s">
        <v>559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596</v>
      </c>
      <c r="C11" s="205" t="s">
        <v>597</v>
      </c>
      <c r="D11" t="s">
        <v>559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596</v>
      </c>
      <c r="C12" s="205" t="s">
        <v>597</v>
      </c>
      <c r="D12" t="s">
        <v>559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598</v>
      </c>
      <c r="C13" s="205" t="s">
        <v>599</v>
      </c>
      <c r="D13" s="106" t="s">
        <v>559</v>
      </c>
      <c r="E13" s="106" t="s">
        <v>23</v>
      </c>
      <c r="F13" s="106" t="s">
        <v>72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600</v>
      </c>
    </row>
    <row r="14" spans="2:13">
      <c r="B14" s="204" t="s">
        <v>598</v>
      </c>
      <c r="C14" s="205"/>
      <c r="D14" s="106" t="s">
        <v>559</v>
      </c>
      <c r="E14" s="106" t="s">
        <v>23</v>
      </c>
      <c r="F14" s="106" t="s">
        <v>73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600</v>
      </c>
    </row>
    <row r="15" spans="2:13">
      <c r="B15" s="204" t="s">
        <v>598</v>
      </c>
      <c r="C15" s="205"/>
      <c r="D15" s="106" t="s">
        <v>559</v>
      </c>
      <c r="E15" s="106" t="s">
        <v>23</v>
      </c>
      <c r="F15" s="106" t="s">
        <v>75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600</v>
      </c>
    </row>
    <row r="16" spans="2:13">
      <c r="B16" s="204" t="s">
        <v>598</v>
      </c>
      <c r="C16" s="205"/>
      <c r="D16" s="106" t="s">
        <v>559</v>
      </c>
      <c r="E16" s="106" t="s">
        <v>23</v>
      </c>
      <c r="F16" s="106" t="s">
        <v>74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600</v>
      </c>
    </row>
    <row r="17" spans="2:13">
      <c r="B17" s="204" t="s">
        <v>598</v>
      </c>
      <c r="C17" s="205"/>
      <c r="D17" s="106" t="s">
        <v>559</v>
      </c>
      <c r="E17" s="106" t="s">
        <v>23</v>
      </c>
      <c r="F17" s="106" t="s">
        <v>76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600</v>
      </c>
    </row>
    <row r="18" spans="2:13">
      <c r="B18" s="204" t="s">
        <v>590</v>
      </c>
      <c r="C18" s="205"/>
      <c r="D18" t="s">
        <v>145</v>
      </c>
      <c r="E18" t="s">
        <v>601</v>
      </c>
      <c r="F18" t="s">
        <v>91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602</v>
      </c>
      <c r="D19" t="s">
        <v>145</v>
      </c>
      <c r="E19" t="s">
        <v>601</v>
      </c>
      <c r="F19" t="s">
        <v>38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593</v>
      </c>
      <c r="C20" s="205"/>
      <c r="D20" t="s">
        <v>145</v>
      </c>
      <c r="E20" t="s">
        <v>601</v>
      </c>
      <c r="F20" t="s">
        <v>86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593</v>
      </c>
      <c r="C21" s="205"/>
      <c r="D21" t="s">
        <v>145</v>
      </c>
      <c r="E21" t="s">
        <v>601</v>
      </c>
      <c r="F21" t="s">
        <v>85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590</v>
      </c>
      <c r="C22" s="205"/>
      <c r="D22" t="s">
        <v>145</v>
      </c>
      <c r="E22" t="s">
        <v>601</v>
      </c>
      <c r="F22" t="s">
        <v>90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603</v>
      </c>
      <c r="C23" s="205"/>
      <c r="D23" t="s">
        <v>145</v>
      </c>
      <c r="E23" t="s">
        <v>601</v>
      </c>
      <c r="F23" t="s">
        <v>82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604</v>
      </c>
      <c r="C24" s="205"/>
      <c r="D24" t="s">
        <v>145</v>
      </c>
      <c r="E24" t="s">
        <v>601</v>
      </c>
      <c r="F24" t="s">
        <v>87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605</v>
      </c>
      <c r="C25" s="205" t="s">
        <v>606</v>
      </c>
      <c r="D25" t="s">
        <v>145</v>
      </c>
      <c r="E25" t="s">
        <v>601</v>
      </c>
      <c r="F25" t="s">
        <v>79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605</v>
      </c>
      <c r="C26" s="205"/>
      <c r="D26" t="s">
        <v>145</v>
      </c>
      <c r="E26" t="s">
        <v>601</v>
      </c>
      <c r="F26" t="s">
        <v>80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592</v>
      </c>
      <c r="C27" s="205"/>
      <c r="D27" t="s">
        <v>145</v>
      </c>
      <c r="E27" t="s">
        <v>601</v>
      </c>
      <c r="F27" t="s">
        <v>93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607</v>
      </c>
      <c r="C28" s="205" t="s">
        <v>608</v>
      </c>
      <c r="D28" t="s">
        <v>145</v>
      </c>
      <c r="E28" t="s">
        <v>601</v>
      </c>
      <c r="F28" t="s">
        <v>88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603</v>
      </c>
      <c r="C29" s="205"/>
      <c r="D29" t="s">
        <v>145</v>
      </c>
      <c r="E29" t="s">
        <v>601</v>
      </c>
      <c r="F29" t="s">
        <v>121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609</v>
      </c>
      <c r="C30" s="205" t="s">
        <v>610</v>
      </c>
      <c r="D30" t="s">
        <v>145</v>
      </c>
      <c r="E30" t="s">
        <v>601</v>
      </c>
      <c r="F30" t="s">
        <v>83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609</v>
      </c>
      <c r="C31" s="205" t="s">
        <v>610</v>
      </c>
      <c r="D31" t="s">
        <v>145</v>
      </c>
      <c r="E31" t="s">
        <v>601</v>
      </c>
      <c r="F31" t="s">
        <v>125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592</v>
      </c>
      <c r="C32" s="205"/>
      <c r="D32" t="s">
        <v>145</v>
      </c>
      <c r="E32" t="s">
        <v>601</v>
      </c>
      <c r="F32" t="s">
        <v>128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593</v>
      </c>
      <c r="C33" s="205"/>
      <c r="D33" t="s">
        <v>145</v>
      </c>
      <c r="E33" t="s">
        <v>601</v>
      </c>
      <c r="F33" t="s">
        <v>84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611</v>
      </c>
      <c r="C34" s="205"/>
      <c r="D34" t="s">
        <v>559</v>
      </c>
      <c r="E34" t="s">
        <v>601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611</v>
      </c>
      <c r="C35" s="205"/>
      <c r="D35" t="s">
        <v>559</v>
      </c>
      <c r="E35" t="s">
        <v>601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612</v>
      </c>
      <c r="C36" s="205"/>
      <c r="D36" t="s">
        <v>559</v>
      </c>
      <c r="E36" t="s">
        <v>601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612</v>
      </c>
      <c r="C37" s="205"/>
      <c r="D37" t="s">
        <v>559</v>
      </c>
      <c r="E37" t="s">
        <v>601</v>
      </c>
      <c r="F37" t="s">
        <v>565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613</v>
      </c>
      <c r="C38" s="205"/>
      <c r="D38" t="s">
        <v>559</v>
      </c>
      <c r="E38" t="s">
        <v>601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614</v>
      </c>
      <c r="C39" s="205" t="s">
        <v>615</v>
      </c>
      <c r="D39" t="s">
        <v>559</v>
      </c>
      <c r="E39" t="s">
        <v>601</v>
      </c>
      <c r="F39" t="s">
        <v>41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616</v>
      </c>
      <c r="C40" s="205"/>
      <c r="D40" t="s">
        <v>559</v>
      </c>
      <c r="E40" t="s">
        <v>601</v>
      </c>
      <c r="F40" t="s">
        <v>123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617</v>
      </c>
      <c r="C41" s="205" t="s">
        <v>618</v>
      </c>
      <c r="D41" t="s">
        <v>559</v>
      </c>
      <c r="E41" t="s">
        <v>601</v>
      </c>
      <c r="F41" t="s">
        <v>60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617</v>
      </c>
      <c r="C42" s="205"/>
      <c r="D42" t="s">
        <v>559</v>
      </c>
      <c r="E42" t="s">
        <v>601</v>
      </c>
      <c r="F42" t="s">
        <v>59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572</v>
      </c>
      <c r="C43" s="205" t="s">
        <v>619</v>
      </c>
      <c r="D43" t="s">
        <v>559</v>
      </c>
      <c r="E43" t="s">
        <v>601</v>
      </c>
      <c r="F43" t="s">
        <v>64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620</v>
      </c>
      <c r="C44" s="205"/>
      <c r="D44" t="s">
        <v>559</v>
      </c>
      <c r="E44" t="s">
        <v>601</v>
      </c>
      <c r="F44" t="s">
        <v>69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621</v>
      </c>
      <c r="D45" t="s">
        <v>559</v>
      </c>
      <c r="E45" t="s">
        <v>601</v>
      </c>
      <c r="F45" t="s">
        <v>70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622</v>
      </c>
      <c r="D46" t="s">
        <v>559</v>
      </c>
      <c r="E46" t="s">
        <v>601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623</v>
      </c>
      <c r="C47" s="205"/>
      <c r="D47" t="s">
        <v>559</v>
      </c>
      <c r="E47" t="s">
        <v>601</v>
      </c>
      <c r="F47" t="s">
        <v>580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624</v>
      </c>
      <c r="C48" s="205"/>
      <c r="D48" t="s">
        <v>145</v>
      </c>
      <c r="E48" t="s">
        <v>34</v>
      </c>
      <c r="F48" t="s">
        <v>102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624</v>
      </c>
      <c r="C49" s="205"/>
      <c r="D49" t="s">
        <v>145</v>
      </c>
      <c r="E49" t="s">
        <v>34</v>
      </c>
      <c r="F49" t="s">
        <v>625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573</v>
      </c>
      <c r="C50" s="205" t="s">
        <v>626</v>
      </c>
      <c r="D50" t="s">
        <v>145</v>
      </c>
      <c r="E50" t="s">
        <v>34</v>
      </c>
      <c r="F50" t="s">
        <v>99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627</v>
      </c>
      <c r="C51" s="205"/>
      <c r="D51" t="s">
        <v>145</v>
      </c>
      <c r="E51" t="s">
        <v>34</v>
      </c>
      <c r="F51" t="s">
        <v>98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571</v>
      </c>
      <c r="C52" s="205" t="s">
        <v>628</v>
      </c>
      <c r="D52" t="s">
        <v>559</v>
      </c>
      <c r="E52" t="s">
        <v>34</v>
      </c>
      <c r="F52" t="s">
        <v>71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571</v>
      </c>
      <c r="C53" s="205"/>
      <c r="D53" t="s">
        <v>559</v>
      </c>
      <c r="E53" t="s">
        <v>34</v>
      </c>
      <c r="F53" t="s">
        <v>77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629</v>
      </c>
      <c r="C54" s="205"/>
      <c r="D54" t="s">
        <v>145</v>
      </c>
      <c r="E54" t="s">
        <v>190</v>
      </c>
      <c r="F54" t="s">
        <v>108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573</v>
      </c>
      <c r="C55" s="205"/>
      <c r="D55" t="s">
        <v>145</v>
      </c>
      <c r="E55" t="s">
        <v>190</v>
      </c>
      <c r="F55" t="s">
        <v>106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593</v>
      </c>
      <c r="C56" s="205"/>
      <c r="D56" t="s">
        <v>145</v>
      </c>
      <c r="E56" t="s">
        <v>190</v>
      </c>
      <c r="F56" t="s">
        <v>109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630</v>
      </c>
      <c r="C57" s="205"/>
      <c r="D57" t="s">
        <v>145</v>
      </c>
      <c r="E57" t="s">
        <v>190</v>
      </c>
      <c r="F57" t="s">
        <v>111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592</v>
      </c>
      <c r="C58" s="205"/>
      <c r="D58" t="s">
        <v>145</v>
      </c>
      <c r="E58" t="s">
        <v>190</v>
      </c>
      <c r="F58" t="s">
        <v>631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592</v>
      </c>
      <c r="C59" s="205"/>
      <c r="D59" t="s">
        <v>145</v>
      </c>
      <c r="E59" t="s">
        <v>190</v>
      </c>
      <c r="F59" t="s">
        <v>113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632</v>
      </c>
      <c r="C60" s="205"/>
      <c r="D60" t="s">
        <v>559</v>
      </c>
      <c r="E60" t="s">
        <v>190</v>
      </c>
      <c r="F60" t="s">
        <v>63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633</v>
      </c>
      <c r="C61" s="205"/>
      <c r="D61" t="s">
        <v>559</v>
      </c>
      <c r="E61" t="s">
        <v>190</v>
      </c>
      <c r="F61" t="s">
        <v>62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572</v>
      </c>
      <c r="C62" s="205"/>
      <c r="D62" t="s">
        <v>559</v>
      </c>
      <c r="E62" t="s">
        <v>190</v>
      </c>
      <c r="F62" t="s">
        <v>67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612</v>
      </c>
      <c r="C63" s="205"/>
      <c r="D63" t="s">
        <v>559</v>
      </c>
      <c r="E63" t="s">
        <v>190</v>
      </c>
      <c r="F63" t="s">
        <v>45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572</v>
      </c>
      <c r="C64" s="205"/>
      <c r="D64" t="s">
        <v>559</v>
      </c>
      <c r="E64" t="s">
        <v>190</v>
      </c>
      <c r="F64" t="s">
        <v>46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632</v>
      </c>
      <c r="C65" s="205"/>
      <c r="D65" t="s">
        <v>559</v>
      </c>
      <c r="E65" t="s">
        <v>190</v>
      </c>
      <c r="F65" t="s">
        <v>44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634</v>
      </c>
      <c r="C66" s="205"/>
      <c r="D66" t="s">
        <v>559</v>
      </c>
      <c r="E66" t="s">
        <v>190</v>
      </c>
      <c r="F66" t="s">
        <v>43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592</v>
      </c>
      <c r="C67" s="205"/>
      <c r="D67" t="s">
        <v>145</v>
      </c>
      <c r="E67" t="s">
        <v>51</v>
      </c>
      <c r="F67" t="s">
        <v>370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603</v>
      </c>
      <c r="C68" s="205" t="s">
        <v>635</v>
      </c>
      <c r="D68" t="s">
        <v>145</v>
      </c>
      <c r="E68" t="s">
        <v>51</v>
      </c>
      <c r="F68" t="s">
        <v>97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590</v>
      </c>
      <c r="C69" s="205"/>
      <c r="D69" t="s">
        <v>145</v>
      </c>
      <c r="E69" t="s">
        <v>51</v>
      </c>
      <c r="F69" t="s">
        <v>130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636</v>
      </c>
      <c r="C70" s="205"/>
      <c r="D70" t="s">
        <v>145</v>
      </c>
      <c r="E70" t="s">
        <v>51</v>
      </c>
      <c r="F70" t="s">
        <v>120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592</v>
      </c>
      <c r="C71" s="205"/>
      <c r="D71" t="s">
        <v>145</v>
      </c>
      <c r="E71" t="s">
        <v>51</v>
      </c>
      <c r="F71" t="s">
        <v>110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637</v>
      </c>
      <c r="C72" s="205"/>
      <c r="D72" t="s">
        <v>559</v>
      </c>
      <c r="E72" t="s">
        <v>51</v>
      </c>
      <c r="F72" t="s">
        <v>58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638</v>
      </c>
      <c r="C73" s="205"/>
      <c r="D73" t="s">
        <v>559</v>
      </c>
      <c r="E73" t="s">
        <v>51</v>
      </c>
      <c r="F73" t="s">
        <v>65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639</v>
      </c>
      <c r="C74" s="205" t="s">
        <v>640</v>
      </c>
      <c r="D74" t="s">
        <v>559</v>
      </c>
      <c r="E74" t="s">
        <v>51</v>
      </c>
      <c r="F74" t="s">
        <v>40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590</v>
      </c>
      <c r="C75" s="205"/>
      <c r="D75" t="s">
        <v>145</v>
      </c>
      <c r="E75" t="s">
        <v>641</v>
      </c>
      <c r="F75" t="s">
        <v>142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642</v>
      </c>
      <c r="C76" s="205"/>
      <c r="D76" t="s">
        <v>145</v>
      </c>
      <c r="E76" t="s">
        <v>641</v>
      </c>
      <c r="F76" t="s">
        <v>118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643</v>
      </c>
      <c r="C77" s="205"/>
      <c r="D77" t="s">
        <v>145</v>
      </c>
      <c r="E77" t="s">
        <v>641</v>
      </c>
      <c r="F77" t="s">
        <v>143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644</v>
      </c>
      <c r="C78" s="205" t="s">
        <v>645</v>
      </c>
      <c r="D78"/>
      <c r="E78"/>
      <c r="F78" t="s">
        <v>646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647</v>
      </c>
      <c r="D79" t="s">
        <v>145</v>
      </c>
      <c r="E79" t="s">
        <v>641</v>
      </c>
      <c r="F79" t="s">
        <v>141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648</v>
      </c>
      <c r="D80" t="s">
        <v>145</v>
      </c>
      <c r="E80" t="s">
        <v>641</v>
      </c>
      <c r="F80" t="s">
        <v>139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649</v>
      </c>
      <c r="D81" t="s">
        <v>145</v>
      </c>
      <c r="E81" t="s">
        <v>641</v>
      </c>
      <c r="F81" t="s">
        <v>135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571</v>
      </c>
      <c r="D82" t="s">
        <v>559</v>
      </c>
      <c r="E82" t="s">
        <v>641</v>
      </c>
      <c r="F82" t="s">
        <v>650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632</v>
      </c>
      <c r="D83" t="s">
        <v>559</v>
      </c>
      <c r="E83" t="s">
        <v>641</v>
      </c>
      <c r="F83" t="s">
        <v>140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572</v>
      </c>
      <c r="D84" t="s">
        <v>559</v>
      </c>
      <c r="E84" t="s">
        <v>641</v>
      </c>
      <c r="F84" t="s">
        <v>61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651</v>
      </c>
      <c r="D85" t="s">
        <v>559</v>
      </c>
      <c r="E85" t="s">
        <v>641</v>
      </c>
      <c r="F85" t="s">
        <v>55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652</v>
      </c>
      <c r="D86" t="s">
        <v>559</v>
      </c>
      <c r="E86" t="s">
        <v>641</v>
      </c>
      <c r="F86" t="s">
        <v>66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644</v>
      </c>
      <c r="C87" s="87" t="s">
        <v>653</v>
      </c>
      <c r="D87" t="s">
        <v>145</v>
      </c>
      <c r="F87" t="s">
        <v>654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655</v>
      </c>
      <c r="D88" t="s">
        <v>559</v>
      </c>
      <c r="F88" t="s">
        <v>54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571</v>
      </c>
      <c r="D89" t="s">
        <v>559</v>
      </c>
      <c r="F89" t="s">
        <v>656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639</v>
      </c>
      <c r="F90" t="s">
        <v>657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648</v>
      </c>
      <c r="F91" t="s">
        <v>89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639</v>
      </c>
      <c r="D92" t="s">
        <v>559</v>
      </c>
      <c r="F92" t="s">
        <v>658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659</v>
      </c>
      <c r="D93" t="s">
        <v>145</v>
      </c>
      <c r="F93" t="s">
        <v>104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660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661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572</v>
      </c>
      <c r="F96" t="s">
        <v>68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662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145</v>
      </c>
      <c r="E101" t="s">
        <v>23</v>
      </c>
      <c r="F101" t="s">
        <v>50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145</v>
      </c>
      <c r="E102" t="s">
        <v>23</v>
      </c>
      <c r="F102" t="s">
        <v>56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145</v>
      </c>
      <c r="E103" t="s">
        <v>23</v>
      </c>
      <c r="F103" t="s">
        <v>49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559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559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559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559</v>
      </c>
      <c r="E107" t="s">
        <v>23</v>
      </c>
      <c r="F107" t="s">
        <v>72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559</v>
      </c>
      <c r="E108" t="s">
        <v>23</v>
      </c>
      <c r="F108" t="s">
        <v>73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559</v>
      </c>
      <c r="E109" t="s">
        <v>23</v>
      </c>
      <c r="F109" t="s">
        <v>75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559</v>
      </c>
      <c r="E110" t="s">
        <v>23</v>
      </c>
      <c r="F110" t="s">
        <v>74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559</v>
      </c>
      <c r="E111" t="s">
        <v>23</v>
      </c>
      <c r="F111" t="s">
        <v>76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145</v>
      </c>
      <c r="E113" s="91" t="s">
        <v>557</v>
      </c>
      <c r="F113" s="91" t="s">
        <v>558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559</v>
      </c>
      <c r="E114" s="91" t="s">
        <v>557</v>
      </c>
      <c r="F114" s="91" t="s">
        <v>558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145</v>
      </c>
      <c r="E118" t="s">
        <v>601</v>
      </c>
      <c r="F118" t="s">
        <v>91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145</v>
      </c>
      <c r="E119" t="s">
        <v>601</v>
      </c>
      <c r="F119" t="s">
        <v>38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145</v>
      </c>
      <c r="E120" t="s">
        <v>601</v>
      </c>
      <c r="F120" t="s">
        <v>86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145</v>
      </c>
      <c r="E121" t="s">
        <v>601</v>
      </c>
      <c r="F121" t="s">
        <v>85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145</v>
      </c>
      <c r="E122" t="s">
        <v>601</v>
      </c>
      <c r="F122" t="s">
        <v>90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145</v>
      </c>
      <c r="E123" t="s">
        <v>601</v>
      </c>
      <c r="F123" t="s">
        <v>82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145</v>
      </c>
      <c r="E124" t="s">
        <v>601</v>
      </c>
      <c r="F124" t="s">
        <v>87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145</v>
      </c>
      <c r="E125" t="s">
        <v>601</v>
      </c>
      <c r="F125" t="s">
        <v>79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145</v>
      </c>
      <c r="E126" t="s">
        <v>601</v>
      </c>
      <c r="F126" t="s">
        <v>80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145</v>
      </c>
      <c r="E127" t="s">
        <v>601</v>
      </c>
      <c r="F127" t="s">
        <v>93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145</v>
      </c>
      <c r="E128" t="s">
        <v>601</v>
      </c>
      <c r="F128" t="s">
        <v>88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145</v>
      </c>
      <c r="E129" t="s">
        <v>601</v>
      </c>
      <c r="F129" t="s">
        <v>121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145</v>
      </c>
      <c r="E130" t="s">
        <v>601</v>
      </c>
      <c r="F130" t="s">
        <v>83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145</v>
      </c>
      <c r="E131" t="s">
        <v>601</v>
      </c>
      <c r="F131" t="s">
        <v>125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145</v>
      </c>
      <c r="E132" t="s">
        <v>601</v>
      </c>
      <c r="F132" t="s">
        <v>128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145</v>
      </c>
      <c r="E133" t="s">
        <v>601</v>
      </c>
      <c r="F133" t="s">
        <v>84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559</v>
      </c>
      <c r="E134" t="s">
        <v>601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559</v>
      </c>
      <c r="E135" t="s">
        <v>601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559</v>
      </c>
      <c r="E136" t="s">
        <v>601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559</v>
      </c>
      <c r="E137" t="s">
        <v>601</v>
      </c>
      <c r="F137" t="s">
        <v>565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559</v>
      </c>
      <c r="E138" t="s">
        <v>601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559</v>
      </c>
      <c r="E139" t="s">
        <v>601</v>
      </c>
      <c r="F139" t="s">
        <v>41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559</v>
      </c>
      <c r="E140" t="s">
        <v>601</v>
      </c>
      <c r="F140" t="s">
        <v>123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559</v>
      </c>
      <c r="E141" t="s">
        <v>601</v>
      </c>
      <c r="F141" t="s">
        <v>60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559</v>
      </c>
      <c r="E142" t="s">
        <v>601</v>
      </c>
      <c r="F142" t="s">
        <v>59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559</v>
      </c>
      <c r="E143" t="s">
        <v>601</v>
      </c>
      <c r="F143" t="s">
        <v>64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559</v>
      </c>
      <c r="E144" t="s">
        <v>601</v>
      </c>
      <c r="F144" t="s">
        <v>69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559</v>
      </c>
      <c r="E145" t="s">
        <v>601</v>
      </c>
      <c r="F145" t="s">
        <v>70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559</v>
      </c>
      <c r="E146" t="s">
        <v>601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559</v>
      </c>
      <c r="E147" t="s">
        <v>601</v>
      </c>
      <c r="F147" t="s">
        <v>580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145</v>
      </c>
      <c r="E149" s="91" t="s">
        <v>663</v>
      </c>
      <c r="F149" s="91" t="s">
        <v>558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559</v>
      </c>
      <c r="E150" s="91" t="s">
        <v>663</v>
      </c>
      <c r="F150" s="91" t="s">
        <v>558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145</v>
      </c>
      <c r="E154" t="s">
        <v>34</v>
      </c>
      <c r="F154" t="s">
        <v>102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145</v>
      </c>
      <c r="E155" t="s">
        <v>34</v>
      </c>
      <c r="F155" t="s">
        <v>99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145</v>
      </c>
      <c r="E156" t="s">
        <v>34</v>
      </c>
      <c r="F156" t="s">
        <v>101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145</v>
      </c>
      <c r="E157" t="s">
        <v>34</v>
      </c>
      <c r="F157" t="s">
        <v>98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664</v>
      </c>
      <c r="E158" t="s">
        <v>34</v>
      </c>
      <c r="F158" t="s">
        <v>97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664</v>
      </c>
      <c r="E159" t="s">
        <v>34</v>
      </c>
      <c r="F159" t="s">
        <v>40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559</v>
      </c>
      <c r="E160" t="s">
        <v>34</v>
      </c>
      <c r="F160" t="s">
        <v>71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559</v>
      </c>
      <c r="E161" t="s">
        <v>34</v>
      </c>
      <c r="F161" t="s">
        <v>77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145</v>
      </c>
      <c r="E163" s="91" t="s">
        <v>148</v>
      </c>
      <c r="F163" s="91" t="s">
        <v>558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559</v>
      </c>
      <c r="E164" s="91" t="s">
        <v>148</v>
      </c>
      <c r="F164" s="91" t="s">
        <v>558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145</v>
      </c>
      <c r="E168" t="s">
        <v>190</v>
      </c>
      <c r="F168" t="s">
        <v>108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145</v>
      </c>
      <c r="E169" t="s">
        <v>190</v>
      </c>
      <c r="F169" t="s">
        <v>106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145</v>
      </c>
      <c r="E170" t="s">
        <v>190</v>
      </c>
      <c r="F170" t="s">
        <v>109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145</v>
      </c>
      <c r="E171" t="s">
        <v>190</v>
      </c>
      <c r="F171" t="s">
        <v>111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145</v>
      </c>
      <c r="E172" t="s">
        <v>190</v>
      </c>
      <c r="F172" t="s">
        <v>107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145</v>
      </c>
      <c r="E173" t="s">
        <v>190</v>
      </c>
      <c r="F173" t="s">
        <v>113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145</v>
      </c>
      <c r="E174" t="s">
        <v>190</v>
      </c>
      <c r="F174" t="s">
        <v>112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559</v>
      </c>
      <c r="E175" t="s">
        <v>190</v>
      </c>
      <c r="F175" t="s">
        <v>63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559</v>
      </c>
      <c r="E176" t="s">
        <v>190</v>
      </c>
      <c r="F176" t="s">
        <v>62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559</v>
      </c>
      <c r="E177" t="s">
        <v>190</v>
      </c>
      <c r="F177" t="s">
        <v>67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559</v>
      </c>
      <c r="E178" t="s">
        <v>190</v>
      </c>
      <c r="F178" t="s">
        <v>45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559</v>
      </c>
      <c r="E179" t="s">
        <v>190</v>
      </c>
      <c r="F179" t="s">
        <v>46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559</v>
      </c>
      <c r="E180" t="s">
        <v>190</v>
      </c>
      <c r="F180" t="s">
        <v>44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559</v>
      </c>
      <c r="E181" t="s">
        <v>190</v>
      </c>
      <c r="F181" t="s">
        <v>43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145</v>
      </c>
      <c r="E183" s="91" t="s">
        <v>665</v>
      </c>
      <c r="F183" s="91" t="s">
        <v>558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559</v>
      </c>
      <c r="E184" s="91" t="s">
        <v>665</v>
      </c>
      <c r="F184" s="91" t="s">
        <v>558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145</v>
      </c>
      <c r="E188" t="s">
        <v>51</v>
      </c>
      <c r="F188" t="s">
        <v>132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145</v>
      </c>
      <c r="E189" t="s">
        <v>51</v>
      </c>
      <c r="F189" t="s">
        <v>97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145</v>
      </c>
      <c r="E190" t="s">
        <v>51</v>
      </c>
      <c r="F190" t="s">
        <v>130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145</v>
      </c>
      <c r="E191" t="s">
        <v>51</v>
      </c>
      <c r="F191" t="s">
        <v>120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145</v>
      </c>
      <c r="E192" t="s">
        <v>51</v>
      </c>
      <c r="F192" t="s">
        <v>110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559</v>
      </c>
      <c r="E193" t="s">
        <v>51</v>
      </c>
      <c r="F193" t="s">
        <v>58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559</v>
      </c>
      <c r="E194" t="s">
        <v>51</v>
      </c>
      <c r="F194" t="s">
        <v>65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559</v>
      </c>
      <c r="E195" s="97" t="s">
        <v>51</v>
      </c>
      <c r="F195" s="97" t="s">
        <v>40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145</v>
      </c>
      <c r="E197" s="91" t="s">
        <v>665</v>
      </c>
      <c r="F197" s="91" t="s">
        <v>558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559</v>
      </c>
      <c r="E198" s="91" t="s">
        <v>665</v>
      </c>
      <c r="F198" s="91" t="s">
        <v>558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145</v>
      </c>
      <c r="E202" t="s">
        <v>641</v>
      </c>
      <c r="F202" t="s">
        <v>142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145</v>
      </c>
      <c r="E203" t="s">
        <v>641</v>
      </c>
      <c r="F203" t="s">
        <v>118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145</v>
      </c>
      <c r="E204" t="s">
        <v>641</v>
      </c>
      <c r="F204" t="s">
        <v>143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145</v>
      </c>
      <c r="E205" t="s">
        <v>641</v>
      </c>
      <c r="F205" t="s">
        <v>141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145</v>
      </c>
      <c r="E206" t="s">
        <v>641</v>
      </c>
      <c r="F206" t="s">
        <v>139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145</v>
      </c>
      <c r="E207" t="s">
        <v>641</v>
      </c>
      <c r="F207" t="s">
        <v>135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559</v>
      </c>
      <c r="E208" t="s">
        <v>641</v>
      </c>
      <c r="F208" t="s">
        <v>136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559</v>
      </c>
      <c r="E209" t="s">
        <v>641</v>
      </c>
      <c r="F209" t="s">
        <v>137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559</v>
      </c>
      <c r="E210" t="s">
        <v>641</v>
      </c>
      <c r="F210" t="s">
        <v>140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559</v>
      </c>
      <c r="E211" t="s">
        <v>641</v>
      </c>
      <c r="F211" t="s">
        <v>61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559</v>
      </c>
      <c r="E212" t="s">
        <v>641</v>
      </c>
      <c r="F212" t="s">
        <v>55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559</v>
      </c>
      <c r="E213" t="s">
        <v>641</v>
      </c>
      <c r="F213" t="s">
        <v>66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145</v>
      </c>
      <c r="E215" s="91" t="s">
        <v>665</v>
      </c>
      <c r="F215" s="91" t="s">
        <v>558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559</v>
      </c>
      <c r="E216" s="91" t="s">
        <v>665</v>
      </c>
      <c r="F216" s="91" t="s">
        <v>558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666</v>
      </c>
      <c r="C2" s="138" t="s">
        <v>4</v>
      </c>
      <c r="D2" s="139" t="s">
        <v>588</v>
      </c>
      <c r="E2" s="77" t="s">
        <v>667</v>
      </c>
      <c r="F2" s="77" t="s">
        <v>5</v>
      </c>
      <c r="G2" s="77" t="s">
        <v>6</v>
      </c>
      <c r="H2" t="s">
        <v>668</v>
      </c>
    </row>
    <row r="3" spans="2:8" ht="76.5" customHeight="1">
      <c r="B3">
        <v>1</v>
      </c>
      <c r="C3" t="s">
        <v>596</v>
      </c>
      <c r="D3" s="87" t="s">
        <v>597</v>
      </c>
      <c r="E3" t="s">
        <v>559</v>
      </c>
      <c r="F3" t="s">
        <v>23</v>
      </c>
      <c r="G3" t="s">
        <v>25</v>
      </c>
    </row>
    <row r="4" spans="2:8" ht="17">
      <c r="B4">
        <v>1</v>
      </c>
      <c r="C4" t="s">
        <v>596</v>
      </c>
      <c r="D4" s="87" t="s">
        <v>597</v>
      </c>
      <c r="E4" t="s">
        <v>559</v>
      </c>
      <c r="F4" t="s">
        <v>23</v>
      </c>
      <c r="G4" t="s">
        <v>24</v>
      </c>
    </row>
    <row r="5" spans="2:8" ht="17">
      <c r="B5">
        <v>1</v>
      </c>
      <c r="C5" t="s">
        <v>596</v>
      </c>
      <c r="D5" s="87" t="s">
        <v>597</v>
      </c>
      <c r="E5" t="s">
        <v>559</v>
      </c>
      <c r="F5" t="s">
        <v>23</v>
      </c>
      <c r="G5" t="s">
        <v>26</v>
      </c>
    </row>
    <row r="6" spans="2:8" ht="85">
      <c r="B6">
        <v>1</v>
      </c>
      <c r="C6" t="s">
        <v>614</v>
      </c>
      <c r="D6" s="87" t="s">
        <v>615</v>
      </c>
      <c r="E6" t="s">
        <v>559</v>
      </c>
      <c r="F6" t="s">
        <v>601</v>
      </c>
      <c r="G6" t="s">
        <v>41</v>
      </c>
    </row>
    <row r="7" spans="2:8">
      <c r="B7">
        <v>1</v>
      </c>
      <c r="C7" t="s">
        <v>623</v>
      </c>
      <c r="D7" s="87"/>
      <c r="E7" t="s">
        <v>559</v>
      </c>
      <c r="F7" t="s">
        <v>601</v>
      </c>
      <c r="G7" t="s">
        <v>580</v>
      </c>
    </row>
    <row r="8" spans="2:8">
      <c r="B8">
        <v>1</v>
      </c>
      <c r="C8" t="s">
        <v>655</v>
      </c>
      <c r="D8" s="87"/>
      <c r="E8" t="s">
        <v>559</v>
      </c>
      <c r="G8" t="s">
        <v>54</v>
      </c>
    </row>
    <row r="9" spans="2:8">
      <c r="B9">
        <v>2</v>
      </c>
      <c r="C9" t="s">
        <v>611</v>
      </c>
      <c r="D9" s="87"/>
      <c r="E9" t="s">
        <v>559</v>
      </c>
      <c r="F9" t="s">
        <v>601</v>
      </c>
      <c r="G9" t="s">
        <v>33</v>
      </c>
    </row>
    <row r="10" spans="2:8">
      <c r="B10">
        <v>2</v>
      </c>
      <c r="C10" t="s">
        <v>611</v>
      </c>
      <c r="D10" s="87"/>
      <c r="E10" t="s">
        <v>559</v>
      </c>
      <c r="F10" t="s">
        <v>601</v>
      </c>
      <c r="G10" t="s">
        <v>28</v>
      </c>
    </row>
    <row r="11" spans="2:8">
      <c r="B11">
        <v>2</v>
      </c>
      <c r="C11" t="s">
        <v>612</v>
      </c>
      <c r="D11" s="87"/>
      <c r="E11" t="s">
        <v>559</v>
      </c>
      <c r="F11" t="s">
        <v>601</v>
      </c>
      <c r="G11" t="s">
        <v>32</v>
      </c>
    </row>
    <row r="12" spans="2:8">
      <c r="B12">
        <v>2</v>
      </c>
      <c r="C12" t="s">
        <v>612</v>
      </c>
      <c r="D12" s="87"/>
      <c r="E12" t="s">
        <v>559</v>
      </c>
      <c r="F12" t="s">
        <v>601</v>
      </c>
      <c r="G12" t="s">
        <v>565</v>
      </c>
    </row>
    <row r="13" spans="2:8">
      <c r="B13">
        <v>2</v>
      </c>
      <c r="C13" t="s">
        <v>613</v>
      </c>
      <c r="D13" s="87"/>
      <c r="E13" t="s">
        <v>559</v>
      </c>
      <c r="F13" t="s">
        <v>601</v>
      </c>
      <c r="G13" t="s">
        <v>30</v>
      </c>
    </row>
    <row r="14" spans="2:8">
      <c r="B14">
        <v>2</v>
      </c>
      <c r="C14" t="s">
        <v>633</v>
      </c>
      <c r="D14" s="87"/>
      <c r="E14" t="s">
        <v>559</v>
      </c>
      <c r="F14" t="s">
        <v>190</v>
      </c>
      <c r="G14" t="s">
        <v>62</v>
      </c>
    </row>
    <row r="15" spans="2:8">
      <c r="B15">
        <v>2</v>
      </c>
      <c r="C15" t="s">
        <v>612</v>
      </c>
      <c r="D15" s="87"/>
      <c r="E15" t="s">
        <v>559</v>
      </c>
      <c r="F15" t="s">
        <v>190</v>
      </c>
      <c r="G15" t="s">
        <v>45</v>
      </c>
    </row>
    <row r="16" spans="2:8">
      <c r="B16">
        <v>2</v>
      </c>
      <c r="C16" t="s">
        <v>636</v>
      </c>
      <c r="D16" s="87"/>
      <c r="E16" t="s">
        <v>145</v>
      </c>
      <c r="F16" t="s">
        <v>51</v>
      </c>
      <c r="G16" t="s">
        <v>120</v>
      </c>
    </row>
    <row r="17" spans="2:7">
      <c r="B17">
        <v>2</v>
      </c>
      <c r="C17" t="s">
        <v>651</v>
      </c>
      <c r="D17" s="87"/>
      <c r="E17" t="s">
        <v>559</v>
      </c>
      <c r="F17" t="s">
        <v>641</v>
      </c>
      <c r="G17" t="s">
        <v>55</v>
      </c>
    </row>
    <row r="18" spans="2:7" ht="34">
      <c r="B18">
        <v>3</v>
      </c>
      <c r="C18" t="s">
        <v>598</v>
      </c>
      <c r="D18" s="87" t="s">
        <v>599</v>
      </c>
      <c r="E18" s="106" t="s">
        <v>559</v>
      </c>
      <c r="F18" s="106" t="s">
        <v>23</v>
      </c>
      <c r="G18" s="106" t="s">
        <v>72</v>
      </c>
    </row>
    <row r="19" spans="2:7">
      <c r="B19">
        <v>3</v>
      </c>
      <c r="C19" t="s">
        <v>598</v>
      </c>
      <c r="D19" s="87"/>
      <c r="E19" s="106" t="s">
        <v>559</v>
      </c>
      <c r="F19" s="106" t="s">
        <v>23</v>
      </c>
      <c r="G19" s="106" t="s">
        <v>73</v>
      </c>
    </row>
    <row r="20" spans="2:7">
      <c r="B20">
        <v>3</v>
      </c>
      <c r="C20" t="s">
        <v>598</v>
      </c>
      <c r="D20" s="87"/>
      <c r="E20" s="106" t="s">
        <v>559</v>
      </c>
      <c r="F20" s="106" t="s">
        <v>23</v>
      </c>
      <c r="G20" s="106" t="s">
        <v>75</v>
      </c>
    </row>
    <row r="21" spans="2:7">
      <c r="B21">
        <v>3</v>
      </c>
      <c r="C21" t="s">
        <v>598</v>
      </c>
      <c r="D21" s="87"/>
      <c r="E21" s="106" t="s">
        <v>559</v>
      </c>
      <c r="F21" s="106" t="s">
        <v>23</v>
      </c>
      <c r="G21" s="106" t="s">
        <v>74</v>
      </c>
    </row>
    <row r="22" spans="2:7">
      <c r="B22">
        <v>3</v>
      </c>
      <c r="C22" t="s">
        <v>598</v>
      </c>
      <c r="D22" s="87"/>
      <c r="E22" s="106" t="s">
        <v>559</v>
      </c>
      <c r="F22" s="106" t="s">
        <v>23</v>
      </c>
      <c r="G22" s="106" t="s">
        <v>76</v>
      </c>
    </row>
    <row r="23" spans="2:7">
      <c r="B23">
        <v>3</v>
      </c>
      <c r="C23" t="s">
        <v>620</v>
      </c>
      <c r="D23" s="87"/>
      <c r="E23" t="s">
        <v>559</v>
      </c>
      <c r="F23" t="s">
        <v>601</v>
      </c>
      <c r="G23" t="s">
        <v>69</v>
      </c>
    </row>
    <row r="24" spans="2:7" ht="34">
      <c r="B24">
        <v>3</v>
      </c>
      <c r="C24" t="s">
        <v>571</v>
      </c>
      <c r="D24" s="87" t="s">
        <v>628</v>
      </c>
      <c r="E24" t="s">
        <v>559</v>
      </c>
      <c r="F24" t="s">
        <v>34</v>
      </c>
      <c r="G24" t="s">
        <v>71</v>
      </c>
    </row>
    <row r="25" spans="2:7">
      <c r="B25">
        <v>3</v>
      </c>
      <c r="C25" t="s">
        <v>571</v>
      </c>
      <c r="D25" s="87"/>
      <c r="E25" t="s">
        <v>559</v>
      </c>
      <c r="F25" t="s">
        <v>34</v>
      </c>
      <c r="G25" t="s">
        <v>77</v>
      </c>
    </row>
    <row r="26" spans="2:7">
      <c r="B26">
        <v>3</v>
      </c>
      <c r="C26" t="s">
        <v>632</v>
      </c>
      <c r="D26" s="87"/>
      <c r="E26" t="s">
        <v>559</v>
      </c>
      <c r="F26" t="s">
        <v>190</v>
      </c>
      <c r="G26" t="s">
        <v>63</v>
      </c>
    </row>
    <row r="27" spans="2:7">
      <c r="B27">
        <v>3</v>
      </c>
      <c r="C27" t="s">
        <v>632</v>
      </c>
      <c r="D27" s="87"/>
      <c r="E27" t="s">
        <v>559</v>
      </c>
      <c r="F27" t="s">
        <v>190</v>
      </c>
      <c r="G27" t="s">
        <v>44</v>
      </c>
    </row>
    <row r="28" spans="2:7">
      <c r="B28">
        <v>3</v>
      </c>
      <c r="C28" t="s">
        <v>634</v>
      </c>
      <c r="D28" s="87"/>
      <c r="E28" t="s">
        <v>559</v>
      </c>
      <c r="F28" t="s">
        <v>190</v>
      </c>
      <c r="G28" t="s">
        <v>43</v>
      </c>
    </row>
    <row r="29" spans="2:7">
      <c r="B29">
        <v>3</v>
      </c>
      <c r="C29" t="s">
        <v>637</v>
      </c>
      <c r="D29" s="87"/>
      <c r="E29" t="s">
        <v>559</v>
      </c>
      <c r="F29" t="s">
        <v>51</v>
      </c>
      <c r="G29" t="s">
        <v>58</v>
      </c>
    </row>
    <row r="30" spans="2:7">
      <c r="B30">
        <v>3</v>
      </c>
      <c r="C30" t="s">
        <v>638</v>
      </c>
      <c r="D30" s="87"/>
      <c r="E30" t="s">
        <v>559</v>
      </c>
      <c r="F30" t="s">
        <v>51</v>
      </c>
      <c r="G30" t="s">
        <v>65</v>
      </c>
    </row>
    <row r="31" spans="2:7" ht="34">
      <c r="B31">
        <v>3</v>
      </c>
      <c r="C31" t="s">
        <v>639</v>
      </c>
      <c r="D31" s="87" t="s">
        <v>640</v>
      </c>
      <c r="E31" t="s">
        <v>559</v>
      </c>
      <c r="F31" t="s">
        <v>51</v>
      </c>
      <c r="G31" t="s">
        <v>40</v>
      </c>
    </row>
    <row r="32" spans="2:7">
      <c r="B32">
        <v>3</v>
      </c>
      <c r="C32" t="s">
        <v>642</v>
      </c>
      <c r="D32" s="87"/>
      <c r="E32" t="s">
        <v>145</v>
      </c>
      <c r="F32" t="s">
        <v>641</v>
      </c>
      <c r="G32" t="s">
        <v>118</v>
      </c>
    </row>
    <row r="33" spans="2:7">
      <c r="B33">
        <v>3</v>
      </c>
      <c r="C33" t="s">
        <v>571</v>
      </c>
      <c r="D33" s="87"/>
      <c r="E33" t="s">
        <v>559</v>
      </c>
      <c r="F33" t="s">
        <v>641</v>
      </c>
      <c r="G33" t="s">
        <v>650</v>
      </c>
    </row>
    <row r="34" spans="2:7">
      <c r="B34">
        <v>3</v>
      </c>
      <c r="C34" t="s">
        <v>632</v>
      </c>
      <c r="D34" s="87"/>
      <c r="E34" t="s">
        <v>559</v>
      </c>
      <c r="F34" t="s">
        <v>641</v>
      </c>
      <c r="G34" t="s">
        <v>140</v>
      </c>
    </row>
    <row r="35" spans="2:7">
      <c r="B35">
        <v>3</v>
      </c>
      <c r="C35" t="s">
        <v>571</v>
      </c>
      <c r="D35" s="87"/>
      <c r="E35" t="s">
        <v>559</v>
      </c>
      <c r="G35" t="s">
        <v>656</v>
      </c>
    </row>
    <row r="36" spans="2:7">
      <c r="B36">
        <v>3</v>
      </c>
      <c r="C36" t="s">
        <v>639</v>
      </c>
      <c r="D36" s="87"/>
      <c r="G36" t="s">
        <v>657</v>
      </c>
    </row>
    <row r="37" spans="2:7">
      <c r="B37">
        <v>3</v>
      </c>
      <c r="C37" t="s">
        <v>639</v>
      </c>
      <c r="D37" s="87"/>
      <c r="E37" t="s">
        <v>559</v>
      </c>
      <c r="G37" t="s">
        <v>658</v>
      </c>
    </row>
    <row r="38" spans="2:7">
      <c r="B38">
        <v>4</v>
      </c>
      <c r="C38" t="s">
        <v>603</v>
      </c>
      <c r="D38" s="87"/>
      <c r="E38" t="s">
        <v>145</v>
      </c>
      <c r="F38" t="s">
        <v>601</v>
      </c>
      <c r="G38" t="s">
        <v>82</v>
      </c>
    </row>
    <row r="39" spans="2:7">
      <c r="B39">
        <v>4</v>
      </c>
      <c r="C39" t="s">
        <v>603</v>
      </c>
      <c r="D39" s="87"/>
      <c r="E39" t="s">
        <v>145</v>
      </c>
      <c r="F39" t="s">
        <v>601</v>
      </c>
      <c r="G39" t="s">
        <v>121</v>
      </c>
    </row>
    <row r="40" spans="2:7" ht="51">
      <c r="B40">
        <v>4</v>
      </c>
      <c r="C40" t="s">
        <v>609</v>
      </c>
      <c r="D40" s="87" t="s">
        <v>610</v>
      </c>
      <c r="E40" t="s">
        <v>145</v>
      </c>
      <c r="F40" t="s">
        <v>601</v>
      </c>
      <c r="G40" t="s">
        <v>83</v>
      </c>
    </row>
    <row r="41" spans="2:7" ht="51">
      <c r="B41">
        <v>4</v>
      </c>
      <c r="C41" t="s">
        <v>609</v>
      </c>
      <c r="D41" s="87" t="s">
        <v>610</v>
      </c>
      <c r="E41" t="s">
        <v>145</v>
      </c>
      <c r="F41" t="s">
        <v>601</v>
      </c>
      <c r="G41" t="s">
        <v>125</v>
      </c>
    </row>
    <row r="42" spans="2:7">
      <c r="B42">
        <v>4</v>
      </c>
      <c r="C42" t="s">
        <v>616</v>
      </c>
      <c r="D42" s="87"/>
      <c r="E42" t="s">
        <v>559</v>
      </c>
      <c r="F42" t="s">
        <v>601</v>
      </c>
      <c r="G42" t="s">
        <v>123</v>
      </c>
    </row>
    <row r="43" spans="2:7" ht="34">
      <c r="B43">
        <v>4</v>
      </c>
      <c r="C43" t="s">
        <v>617</v>
      </c>
      <c r="D43" s="87" t="s">
        <v>618</v>
      </c>
      <c r="E43" t="s">
        <v>559</v>
      </c>
      <c r="F43" t="s">
        <v>601</v>
      </c>
      <c r="G43" t="s">
        <v>60</v>
      </c>
    </row>
    <row r="44" spans="2:7">
      <c r="B44">
        <v>4</v>
      </c>
      <c r="C44" t="s">
        <v>617</v>
      </c>
      <c r="D44" s="87"/>
      <c r="E44" t="s">
        <v>559</v>
      </c>
      <c r="F44" t="s">
        <v>601</v>
      </c>
      <c r="G44" t="s">
        <v>59</v>
      </c>
    </row>
    <row r="45" spans="2:7" ht="34">
      <c r="B45">
        <v>4</v>
      </c>
      <c r="C45" t="s">
        <v>572</v>
      </c>
      <c r="D45" s="87" t="s">
        <v>619</v>
      </c>
      <c r="E45" t="s">
        <v>559</v>
      </c>
      <c r="F45" t="s">
        <v>601</v>
      </c>
      <c r="G45" t="s">
        <v>64</v>
      </c>
    </row>
    <row r="46" spans="2:7">
      <c r="B46">
        <v>4</v>
      </c>
      <c r="C46" t="s">
        <v>627</v>
      </c>
      <c r="D46" s="87"/>
      <c r="E46" t="s">
        <v>145</v>
      </c>
      <c r="F46" t="s">
        <v>34</v>
      </c>
      <c r="G46" t="s">
        <v>98</v>
      </c>
    </row>
    <row r="47" spans="2:7">
      <c r="B47">
        <v>4</v>
      </c>
      <c r="C47" t="s">
        <v>572</v>
      </c>
      <c r="D47" s="87"/>
      <c r="E47" t="s">
        <v>559</v>
      </c>
      <c r="F47" t="s">
        <v>190</v>
      </c>
      <c r="G47" t="s">
        <v>67</v>
      </c>
    </row>
    <row r="48" spans="2:7">
      <c r="B48">
        <v>4</v>
      </c>
      <c r="C48" t="s">
        <v>572</v>
      </c>
      <c r="D48" s="87"/>
      <c r="E48" t="s">
        <v>559</v>
      </c>
      <c r="F48" t="s">
        <v>190</v>
      </c>
      <c r="G48" t="s">
        <v>46</v>
      </c>
    </row>
    <row r="49" spans="2:7" ht="17">
      <c r="B49">
        <v>4</v>
      </c>
      <c r="C49" t="s">
        <v>603</v>
      </c>
      <c r="D49" s="87" t="s">
        <v>635</v>
      </c>
      <c r="E49" t="s">
        <v>145</v>
      </c>
      <c r="F49" t="s">
        <v>51</v>
      </c>
      <c r="G49" t="s">
        <v>97</v>
      </c>
    </row>
    <row r="50" spans="2:7">
      <c r="B50">
        <v>4</v>
      </c>
      <c r="C50" t="s">
        <v>649</v>
      </c>
      <c r="D50" s="87"/>
      <c r="E50" t="s">
        <v>145</v>
      </c>
      <c r="F50" t="s">
        <v>641</v>
      </c>
      <c r="G50" t="s">
        <v>135</v>
      </c>
    </row>
    <row r="51" spans="2:7">
      <c r="B51">
        <v>4</v>
      </c>
      <c r="C51" t="s">
        <v>572</v>
      </c>
      <c r="D51" s="87"/>
      <c r="E51" t="s">
        <v>559</v>
      </c>
      <c r="F51" t="s">
        <v>641</v>
      </c>
      <c r="G51" t="s">
        <v>61</v>
      </c>
    </row>
    <row r="52" spans="2:7">
      <c r="B52">
        <v>4</v>
      </c>
      <c r="C52" t="s">
        <v>572</v>
      </c>
      <c r="D52" s="87"/>
      <c r="G52" t="s">
        <v>68</v>
      </c>
    </row>
    <row r="53" spans="2:7" ht="68">
      <c r="B53">
        <v>5</v>
      </c>
      <c r="C53" t="s">
        <v>590</v>
      </c>
      <c r="D53" s="87" t="s">
        <v>591</v>
      </c>
      <c r="E53" t="s">
        <v>145</v>
      </c>
      <c r="F53" t="s">
        <v>23</v>
      </c>
      <c r="G53" t="s">
        <v>50</v>
      </c>
    </row>
    <row r="54" spans="2:7">
      <c r="B54">
        <v>5</v>
      </c>
      <c r="C54" t="s">
        <v>592</v>
      </c>
      <c r="D54" s="87"/>
      <c r="E54" t="s">
        <v>145</v>
      </c>
      <c r="F54" t="s">
        <v>23</v>
      </c>
      <c r="G54" t="s">
        <v>56</v>
      </c>
    </row>
    <row r="55" spans="2:7">
      <c r="B55">
        <v>5</v>
      </c>
      <c r="C55" t="s">
        <v>590</v>
      </c>
      <c r="D55" s="87"/>
      <c r="E55" t="s">
        <v>145</v>
      </c>
      <c r="F55" t="s">
        <v>601</v>
      </c>
      <c r="G55" t="s">
        <v>91</v>
      </c>
    </row>
    <row r="56" spans="2:7">
      <c r="B56">
        <v>5</v>
      </c>
      <c r="C56" t="s">
        <v>590</v>
      </c>
      <c r="D56" s="87"/>
      <c r="E56" t="s">
        <v>145</v>
      </c>
      <c r="F56" t="s">
        <v>601</v>
      </c>
      <c r="G56" t="s">
        <v>90</v>
      </c>
    </row>
    <row r="57" spans="2:7">
      <c r="B57">
        <v>5</v>
      </c>
      <c r="C57" t="s">
        <v>604</v>
      </c>
      <c r="D57" s="87"/>
      <c r="E57" t="s">
        <v>145</v>
      </c>
      <c r="F57" t="s">
        <v>601</v>
      </c>
      <c r="G57" t="s">
        <v>87</v>
      </c>
    </row>
    <row r="58" spans="2:7" ht="51">
      <c r="B58">
        <v>5</v>
      </c>
      <c r="C58" t="s">
        <v>605</v>
      </c>
      <c r="D58" s="87" t="s">
        <v>606</v>
      </c>
      <c r="E58" t="s">
        <v>145</v>
      </c>
      <c r="F58" t="s">
        <v>601</v>
      </c>
      <c r="G58" t="s">
        <v>79</v>
      </c>
    </row>
    <row r="59" spans="2:7">
      <c r="B59">
        <v>5</v>
      </c>
      <c r="C59" t="s">
        <v>605</v>
      </c>
      <c r="D59" s="87"/>
      <c r="E59" t="s">
        <v>145</v>
      </c>
      <c r="F59" t="s">
        <v>601</v>
      </c>
      <c r="G59" t="s">
        <v>80</v>
      </c>
    </row>
    <row r="60" spans="2:7">
      <c r="B60">
        <v>5</v>
      </c>
      <c r="C60" t="s">
        <v>592</v>
      </c>
      <c r="D60" s="87"/>
      <c r="E60" t="s">
        <v>145</v>
      </c>
      <c r="F60" t="s">
        <v>601</v>
      </c>
      <c r="G60" t="s">
        <v>93</v>
      </c>
    </row>
    <row r="61" spans="2:7" ht="34">
      <c r="B61">
        <v>5</v>
      </c>
      <c r="C61" t="s">
        <v>607</v>
      </c>
      <c r="D61" s="87" t="s">
        <v>608</v>
      </c>
      <c r="E61" t="s">
        <v>145</v>
      </c>
      <c r="F61" t="s">
        <v>601</v>
      </c>
      <c r="G61" t="s">
        <v>88</v>
      </c>
    </row>
    <row r="62" spans="2:7">
      <c r="B62">
        <v>5</v>
      </c>
      <c r="C62" t="s">
        <v>592</v>
      </c>
      <c r="D62" s="87"/>
      <c r="E62" t="s">
        <v>145</v>
      </c>
      <c r="F62" t="s">
        <v>601</v>
      </c>
      <c r="G62" t="s">
        <v>128</v>
      </c>
    </row>
    <row r="63" spans="2:7">
      <c r="B63">
        <v>5</v>
      </c>
      <c r="C63" t="s">
        <v>624</v>
      </c>
      <c r="D63" s="87"/>
      <c r="E63" t="s">
        <v>145</v>
      </c>
      <c r="F63" t="s">
        <v>34</v>
      </c>
      <c r="G63" t="s">
        <v>102</v>
      </c>
    </row>
    <row r="64" spans="2:7">
      <c r="B64">
        <v>5</v>
      </c>
      <c r="C64" t="s">
        <v>624</v>
      </c>
      <c r="D64" s="87"/>
      <c r="E64" t="s">
        <v>145</v>
      </c>
      <c r="F64" t="s">
        <v>34</v>
      </c>
      <c r="G64" t="s">
        <v>625</v>
      </c>
    </row>
    <row r="65" spans="2:7" ht="34">
      <c r="B65">
        <v>5</v>
      </c>
      <c r="C65" t="s">
        <v>573</v>
      </c>
      <c r="D65" s="87" t="s">
        <v>626</v>
      </c>
      <c r="E65" t="s">
        <v>145</v>
      </c>
      <c r="F65" t="s">
        <v>34</v>
      </c>
      <c r="G65" t="s">
        <v>99</v>
      </c>
    </row>
    <row r="66" spans="2:7">
      <c r="B66">
        <v>5</v>
      </c>
      <c r="C66" t="s">
        <v>629</v>
      </c>
      <c r="D66" s="87"/>
      <c r="E66" t="s">
        <v>145</v>
      </c>
      <c r="F66" t="s">
        <v>190</v>
      </c>
      <c r="G66" t="s">
        <v>108</v>
      </c>
    </row>
    <row r="67" spans="2:7">
      <c r="B67">
        <v>5</v>
      </c>
      <c r="C67" t="s">
        <v>573</v>
      </c>
      <c r="D67" s="87"/>
      <c r="E67" t="s">
        <v>145</v>
      </c>
      <c r="F67" t="s">
        <v>190</v>
      </c>
      <c r="G67" t="s">
        <v>106</v>
      </c>
    </row>
    <row r="68" spans="2:7">
      <c r="B68">
        <v>5</v>
      </c>
      <c r="C68" t="s">
        <v>592</v>
      </c>
      <c r="D68" s="87"/>
      <c r="E68" t="s">
        <v>145</v>
      </c>
      <c r="F68" t="s">
        <v>190</v>
      </c>
      <c r="G68" t="s">
        <v>631</v>
      </c>
    </row>
    <row r="69" spans="2:7">
      <c r="B69">
        <v>5</v>
      </c>
      <c r="C69" t="s">
        <v>592</v>
      </c>
      <c r="D69" s="87"/>
      <c r="E69" t="s">
        <v>145</v>
      </c>
      <c r="F69" t="s">
        <v>190</v>
      </c>
      <c r="G69" t="s">
        <v>113</v>
      </c>
    </row>
    <row r="70" spans="2:7">
      <c r="B70">
        <v>5</v>
      </c>
      <c r="C70" t="s">
        <v>592</v>
      </c>
      <c r="D70" s="87"/>
      <c r="E70" t="s">
        <v>145</v>
      </c>
      <c r="F70" t="s">
        <v>51</v>
      </c>
      <c r="G70" t="s">
        <v>370</v>
      </c>
    </row>
    <row r="71" spans="2:7">
      <c r="B71">
        <v>5</v>
      </c>
      <c r="C71" t="s">
        <v>590</v>
      </c>
      <c r="D71" s="87"/>
      <c r="E71" t="s">
        <v>145</v>
      </c>
      <c r="F71" t="s">
        <v>51</v>
      </c>
      <c r="G71" t="s">
        <v>130</v>
      </c>
    </row>
    <row r="72" spans="2:7">
      <c r="B72">
        <v>5</v>
      </c>
      <c r="C72" t="s">
        <v>592</v>
      </c>
      <c r="D72" s="87"/>
      <c r="E72" t="s">
        <v>145</v>
      </c>
      <c r="F72" t="s">
        <v>51</v>
      </c>
      <c r="G72" t="s">
        <v>110</v>
      </c>
    </row>
    <row r="73" spans="2:7">
      <c r="B73">
        <v>5</v>
      </c>
      <c r="C73" t="s">
        <v>643</v>
      </c>
      <c r="D73" s="87"/>
      <c r="E73" t="s">
        <v>145</v>
      </c>
      <c r="F73" t="s">
        <v>641</v>
      </c>
      <c r="G73" t="s">
        <v>143</v>
      </c>
    </row>
    <row r="74" spans="2:7">
      <c r="B74">
        <v>5</v>
      </c>
      <c r="C74" t="s">
        <v>590</v>
      </c>
      <c r="D74" s="87"/>
      <c r="E74" t="s">
        <v>145</v>
      </c>
      <c r="F74" t="s">
        <v>641</v>
      </c>
      <c r="G74" t="s">
        <v>142</v>
      </c>
    </row>
    <row r="75" spans="2:7">
      <c r="B75">
        <v>5</v>
      </c>
      <c r="C75" t="s">
        <v>647</v>
      </c>
      <c r="D75" s="87"/>
      <c r="E75" t="s">
        <v>145</v>
      </c>
      <c r="F75" t="s">
        <v>641</v>
      </c>
      <c r="G75" t="s">
        <v>141</v>
      </c>
    </row>
    <row r="76" spans="2:7">
      <c r="B76">
        <v>5</v>
      </c>
      <c r="C76" t="s">
        <v>659</v>
      </c>
      <c r="D76" s="87"/>
      <c r="E76" t="s">
        <v>145</v>
      </c>
      <c r="G76" t="s">
        <v>104</v>
      </c>
    </row>
    <row r="77" spans="2:7">
      <c r="B77">
        <v>6</v>
      </c>
      <c r="C77" t="s">
        <v>593</v>
      </c>
      <c r="D77" s="87"/>
      <c r="E77" s="106" t="s">
        <v>145</v>
      </c>
      <c r="F77" s="106" t="s">
        <v>23</v>
      </c>
      <c r="G77" s="106" t="s">
        <v>594</v>
      </c>
    </row>
    <row r="78" spans="2:7">
      <c r="B78">
        <v>6</v>
      </c>
      <c r="C78" t="s">
        <v>593</v>
      </c>
      <c r="D78" s="87"/>
      <c r="E78" t="s">
        <v>145</v>
      </c>
      <c r="F78" t="s">
        <v>23</v>
      </c>
      <c r="G78" t="s">
        <v>49</v>
      </c>
    </row>
    <row r="79" spans="2:7">
      <c r="B79">
        <v>6</v>
      </c>
      <c r="C79" t="s">
        <v>593</v>
      </c>
      <c r="D79" s="87"/>
      <c r="E79" t="s">
        <v>145</v>
      </c>
      <c r="F79" t="s">
        <v>601</v>
      </c>
      <c r="G79" t="s">
        <v>86</v>
      </c>
    </row>
    <row r="80" spans="2:7">
      <c r="B80">
        <v>6</v>
      </c>
      <c r="C80" t="s">
        <v>593</v>
      </c>
      <c r="D80" s="87"/>
      <c r="E80" t="s">
        <v>145</v>
      </c>
      <c r="F80" t="s">
        <v>601</v>
      </c>
      <c r="G80" t="s">
        <v>85</v>
      </c>
    </row>
    <row r="81" spans="2:7">
      <c r="B81">
        <v>6</v>
      </c>
      <c r="C81" t="s">
        <v>593</v>
      </c>
      <c r="D81" s="87"/>
      <c r="E81" t="s">
        <v>145</v>
      </c>
      <c r="F81" t="s">
        <v>601</v>
      </c>
      <c r="G81" t="s">
        <v>84</v>
      </c>
    </row>
    <row r="82" spans="2:7">
      <c r="B82">
        <v>6</v>
      </c>
      <c r="C82" t="s">
        <v>593</v>
      </c>
      <c r="D82" s="87"/>
      <c r="E82" t="s">
        <v>145</v>
      </c>
      <c r="F82" t="s">
        <v>190</v>
      </c>
      <c r="G82" t="s">
        <v>109</v>
      </c>
    </row>
    <row r="83" spans="2:7">
      <c r="B83">
        <v>6</v>
      </c>
      <c r="C83" t="s">
        <v>630</v>
      </c>
      <c r="D83" s="87"/>
      <c r="E83" t="s">
        <v>145</v>
      </c>
      <c r="F83" t="s">
        <v>190</v>
      </c>
      <c r="G83" t="s">
        <v>111</v>
      </c>
    </row>
    <row r="84" spans="2:7">
      <c r="B84">
        <v>6</v>
      </c>
      <c r="C84" t="s">
        <v>648</v>
      </c>
      <c r="D84" s="87"/>
      <c r="E84" t="s">
        <v>145</v>
      </c>
      <c r="F84" t="s">
        <v>641</v>
      </c>
      <c r="G84" t="s">
        <v>139</v>
      </c>
    </row>
    <row r="85" spans="2:7">
      <c r="B85">
        <v>6</v>
      </c>
      <c r="C85" t="s">
        <v>648</v>
      </c>
      <c r="D85" s="87"/>
      <c r="G85" t="s">
        <v>89</v>
      </c>
    </row>
    <row r="86" spans="2:7" ht="34">
      <c r="B86">
        <v>7</v>
      </c>
      <c r="C86" t="s">
        <v>644</v>
      </c>
      <c r="D86" s="87" t="s">
        <v>645</v>
      </c>
      <c r="G86" t="s">
        <v>646</v>
      </c>
    </row>
    <row r="87" spans="2:7" ht="51">
      <c r="B87">
        <v>7</v>
      </c>
      <c r="C87" t="s">
        <v>644</v>
      </c>
      <c r="D87" s="87" t="s">
        <v>653</v>
      </c>
      <c r="E87" t="s">
        <v>145</v>
      </c>
      <c r="G87" t="s">
        <v>654</v>
      </c>
    </row>
    <row r="88" spans="2:7" ht="17">
      <c r="D88" s="87" t="s">
        <v>602</v>
      </c>
      <c r="E88" t="s">
        <v>145</v>
      </c>
      <c r="F88" t="s">
        <v>601</v>
      </c>
      <c r="G88" t="s">
        <v>38</v>
      </c>
    </row>
    <row r="89" spans="2:7" ht="17">
      <c r="D89" s="87" t="s">
        <v>621</v>
      </c>
      <c r="E89" t="s">
        <v>559</v>
      </c>
      <c r="F89" t="s">
        <v>601</v>
      </c>
      <c r="G89" t="s">
        <v>70</v>
      </c>
    </row>
    <row r="90" spans="2:7" ht="34">
      <c r="D90" s="87" t="s">
        <v>622</v>
      </c>
      <c r="E90" t="s">
        <v>559</v>
      </c>
      <c r="F90" t="s">
        <v>601</v>
      </c>
      <c r="G90" t="s">
        <v>36</v>
      </c>
    </row>
    <row r="91" spans="2:7">
      <c r="C91" t="s">
        <v>652</v>
      </c>
      <c r="D91" s="87"/>
      <c r="E91" t="s">
        <v>559</v>
      </c>
      <c r="F91" t="s">
        <v>641</v>
      </c>
      <c r="G91" t="s">
        <v>66</v>
      </c>
    </row>
    <row r="92" spans="2:7">
      <c r="D92" s="87"/>
      <c r="G92" t="s">
        <v>660</v>
      </c>
    </row>
    <row r="93" spans="2:7">
      <c r="D93" s="87"/>
      <c r="G93" t="s">
        <v>661</v>
      </c>
    </row>
    <row r="94" spans="2:7">
      <c r="D94" s="87"/>
      <c r="G94" t="s">
        <v>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582</v>
      </c>
      <c r="C1" s="87" t="s">
        <v>583</v>
      </c>
      <c r="D1" s="137" t="s">
        <v>584</v>
      </c>
      <c r="F1" t="s">
        <v>585</v>
      </c>
    </row>
    <row r="2" spans="2:13">
      <c r="B2" t="s">
        <v>669</v>
      </c>
      <c r="E2" t="s">
        <v>587</v>
      </c>
      <c r="F2">
        <v>0.5</v>
      </c>
    </row>
    <row r="4" spans="2:13" s="74" customFormat="1" ht="34">
      <c r="B4" s="138" t="s">
        <v>4</v>
      </c>
      <c r="C4" s="139" t="s">
        <v>588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589</v>
      </c>
    </row>
    <row r="5" spans="2:13" ht="136">
      <c r="B5" s="204" t="s">
        <v>590</v>
      </c>
      <c r="C5" s="205" t="s">
        <v>591</v>
      </c>
      <c r="D5" t="s">
        <v>145</v>
      </c>
      <c r="E5" t="s">
        <v>23</v>
      </c>
      <c r="F5" t="s">
        <v>50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592</v>
      </c>
      <c r="C6" s="205"/>
      <c r="D6" t="s">
        <v>145</v>
      </c>
      <c r="E6" t="s">
        <v>23</v>
      </c>
      <c r="F6" t="s">
        <v>56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593</v>
      </c>
      <c r="C7" s="205"/>
      <c r="D7" s="106" t="s">
        <v>145</v>
      </c>
      <c r="E7" s="106" t="s">
        <v>23</v>
      </c>
      <c r="F7" s="106" t="s">
        <v>594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595</v>
      </c>
    </row>
    <row r="8" spans="2:13">
      <c r="B8" s="204" t="s">
        <v>593</v>
      </c>
      <c r="C8" s="205"/>
      <c r="D8" t="s">
        <v>145</v>
      </c>
      <c r="E8" t="s">
        <v>23</v>
      </c>
      <c r="F8" t="s">
        <v>49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596</v>
      </c>
      <c r="C9" s="205" t="s">
        <v>597</v>
      </c>
      <c r="D9" t="s">
        <v>559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596</v>
      </c>
      <c r="C10" s="205" t="s">
        <v>597</v>
      </c>
      <c r="D10" t="s">
        <v>559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596</v>
      </c>
      <c r="C11" s="205" t="s">
        <v>597</v>
      </c>
      <c r="D11" t="s">
        <v>559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598</v>
      </c>
      <c r="C12" s="205" t="s">
        <v>599</v>
      </c>
      <c r="D12" s="106" t="s">
        <v>559</v>
      </c>
      <c r="E12" s="106" t="s">
        <v>23</v>
      </c>
      <c r="F12" s="106" t="s">
        <v>72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600</v>
      </c>
    </row>
    <row r="13" spans="2:13">
      <c r="B13" s="204" t="s">
        <v>598</v>
      </c>
      <c r="C13" s="205"/>
      <c r="D13" s="106" t="s">
        <v>559</v>
      </c>
      <c r="E13" s="106" t="s">
        <v>23</v>
      </c>
      <c r="F13" s="106" t="s">
        <v>73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600</v>
      </c>
    </row>
    <row r="14" spans="2:13">
      <c r="B14" s="204" t="s">
        <v>598</v>
      </c>
      <c r="C14" s="205"/>
      <c r="D14" s="106" t="s">
        <v>559</v>
      </c>
      <c r="E14" s="106" t="s">
        <v>23</v>
      </c>
      <c r="F14" s="106" t="s">
        <v>75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600</v>
      </c>
    </row>
    <row r="15" spans="2:13">
      <c r="B15" s="204" t="s">
        <v>598</v>
      </c>
      <c r="C15" s="205"/>
      <c r="D15" s="106" t="s">
        <v>559</v>
      </c>
      <c r="E15" s="106" t="s">
        <v>23</v>
      </c>
      <c r="F15" s="106" t="s">
        <v>74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600</v>
      </c>
    </row>
    <row r="16" spans="2:13">
      <c r="B16" s="204" t="s">
        <v>598</v>
      </c>
      <c r="C16" s="205"/>
      <c r="D16" s="106" t="s">
        <v>559</v>
      </c>
      <c r="E16" s="106" t="s">
        <v>23</v>
      </c>
      <c r="F16" s="106" t="s">
        <v>76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600</v>
      </c>
    </row>
    <row r="17" spans="2:12">
      <c r="B17" s="204" t="s">
        <v>590</v>
      </c>
      <c r="C17" s="205"/>
      <c r="D17" t="s">
        <v>145</v>
      </c>
      <c r="E17" t="s">
        <v>601</v>
      </c>
      <c r="F17" t="s">
        <v>91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602</v>
      </c>
      <c r="D18" t="s">
        <v>145</v>
      </c>
      <c r="E18" t="s">
        <v>601</v>
      </c>
      <c r="F18" t="s">
        <v>38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593</v>
      </c>
      <c r="C19" s="205"/>
      <c r="D19" t="s">
        <v>145</v>
      </c>
      <c r="E19" t="s">
        <v>601</v>
      </c>
      <c r="F19" t="s">
        <v>86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593</v>
      </c>
      <c r="C20" s="205"/>
      <c r="D20" t="s">
        <v>145</v>
      </c>
      <c r="E20" t="s">
        <v>601</v>
      </c>
      <c r="F20" t="s">
        <v>85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590</v>
      </c>
      <c r="C21" s="205"/>
      <c r="D21" t="s">
        <v>145</v>
      </c>
      <c r="E21" t="s">
        <v>601</v>
      </c>
      <c r="F21" t="s">
        <v>90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603</v>
      </c>
      <c r="C22" s="205"/>
      <c r="D22" t="s">
        <v>145</v>
      </c>
      <c r="E22" t="s">
        <v>601</v>
      </c>
      <c r="F22" t="s">
        <v>82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604</v>
      </c>
      <c r="C23" s="205"/>
      <c r="D23" t="s">
        <v>145</v>
      </c>
      <c r="E23" t="s">
        <v>601</v>
      </c>
      <c r="F23" t="s">
        <v>87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605</v>
      </c>
      <c r="C24" s="205" t="s">
        <v>606</v>
      </c>
      <c r="D24" t="s">
        <v>145</v>
      </c>
      <c r="E24" t="s">
        <v>601</v>
      </c>
      <c r="F24" t="s">
        <v>79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605</v>
      </c>
      <c r="C25" s="205"/>
      <c r="D25" t="s">
        <v>145</v>
      </c>
      <c r="E25" t="s">
        <v>601</v>
      </c>
      <c r="F25" t="s">
        <v>80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592</v>
      </c>
      <c r="C26" s="205"/>
      <c r="D26" t="s">
        <v>145</v>
      </c>
      <c r="E26" t="s">
        <v>601</v>
      </c>
      <c r="F26" t="s">
        <v>93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607</v>
      </c>
      <c r="C27" s="205" t="s">
        <v>608</v>
      </c>
      <c r="D27" t="s">
        <v>145</v>
      </c>
      <c r="E27" t="s">
        <v>601</v>
      </c>
      <c r="F27" t="s">
        <v>88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603</v>
      </c>
      <c r="C28" s="205"/>
      <c r="D28" t="s">
        <v>145</v>
      </c>
      <c r="E28" t="s">
        <v>601</v>
      </c>
      <c r="F28" t="s">
        <v>121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609</v>
      </c>
      <c r="C29" s="205" t="s">
        <v>610</v>
      </c>
      <c r="D29" t="s">
        <v>145</v>
      </c>
      <c r="E29" t="s">
        <v>601</v>
      </c>
      <c r="F29" t="s">
        <v>83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609</v>
      </c>
      <c r="C30" s="205" t="s">
        <v>610</v>
      </c>
      <c r="D30" t="s">
        <v>145</v>
      </c>
      <c r="E30" t="s">
        <v>601</v>
      </c>
      <c r="F30" t="s">
        <v>125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592</v>
      </c>
      <c r="C31" s="205"/>
      <c r="D31" t="s">
        <v>145</v>
      </c>
      <c r="E31" t="s">
        <v>601</v>
      </c>
      <c r="F31" t="s">
        <v>128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593</v>
      </c>
      <c r="C32" s="205"/>
      <c r="D32" t="s">
        <v>145</v>
      </c>
      <c r="E32" t="s">
        <v>601</v>
      </c>
      <c r="F32" t="s">
        <v>84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611</v>
      </c>
      <c r="C33" s="205"/>
      <c r="D33" t="s">
        <v>559</v>
      </c>
      <c r="E33" t="s">
        <v>601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611</v>
      </c>
      <c r="C34" s="205"/>
      <c r="D34" t="s">
        <v>559</v>
      </c>
      <c r="E34" t="s">
        <v>601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612</v>
      </c>
      <c r="C35" s="205"/>
      <c r="D35" t="s">
        <v>559</v>
      </c>
      <c r="E35" t="s">
        <v>601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612</v>
      </c>
      <c r="C36" s="205"/>
      <c r="D36" t="s">
        <v>559</v>
      </c>
      <c r="E36" t="s">
        <v>601</v>
      </c>
      <c r="F36" t="s">
        <v>565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613</v>
      </c>
      <c r="C37" s="205"/>
      <c r="D37" t="s">
        <v>559</v>
      </c>
      <c r="E37" t="s">
        <v>601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614</v>
      </c>
      <c r="C38" s="205" t="s">
        <v>615</v>
      </c>
      <c r="D38" t="s">
        <v>559</v>
      </c>
      <c r="E38" t="s">
        <v>601</v>
      </c>
      <c r="F38" t="s">
        <v>41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616</v>
      </c>
      <c r="C39" s="205"/>
      <c r="D39" t="s">
        <v>559</v>
      </c>
      <c r="E39" t="s">
        <v>601</v>
      </c>
      <c r="F39" t="s">
        <v>123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617</v>
      </c>
      <c r="C40" s="205" t="s">
        <v>618</v>
      </c>
      <c r="D40" t="s">
        <v>559</v>
      </c>
      <c r="E40" t="s">
        <v>601</v>
      </c>
      <c r="F40" t="s">
        <v>60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617</v>
      </c>
      <c r="C41" s="205"/>
      <c r="D41" t="s">
        <v>559</v>
      </c>
      <c r="E41" t="s">
        <v>601</v>
      </c>
      <c r="F41" t="s">
        <v>59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572</v>
      </c>
      <c r="C42" s="205" t="s">
        <v>619</v>
      </c>
      <c r="D42" t="s">
        <v>559</v>
      </c>
      <c r="E42" t="s">
        <v>601</v>
      </c>
      <c r="F42" t="s">
        <v>64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620</v>
      </c>
      <c r="C43" s="205"/>
      <c r="D43" t="s">
        <v>559</v>
      </c>
      <c r="E43" t="s">
        <v>601</v>
      </c>
      <c r="F43" t="s">
        <v>69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621</v>
      </c>
      <c r="D44" t="s">
        <v>559</v>
      </c>
      <c r="E44" t="s">
        <v>601</v>
      </c>
      <c r="F44" t="s">
        <v>70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622</v>
      </c>
      <c r="D45" t="s">
        <v>559</v>
      </c>
      <c r="E45" t="s">
        <v>601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623</v>
      </c>
      <c r="C46" s="205"/>
      <c r="D46" t="s">
        <v>559</v>
      </c>
      <c r="E46" t="s">
        <v>601</v>
      </c>
      <c r="F46" t="s">
        <v>580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624</v>
      </c>
      <c r="C47" s="205"/>
      <c r="D47" t="s">
        <v>145</v>
      </c>
      <c r="E47" t="s">
        <v>34</v>
      </c>
      <c r="F47" t="s">
        <v>102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624</v>
      </c>
      <c r="C48" s="205"/>
      <c r="D48" t="s">
        <v>145</v>
      </c>
      <c r="E48" t="s">
        <v>34</v>
      </c>
      <c r="F48" t="s">
        <v>625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573</v>
      </c>
      <c r="C49" s="205" t="s">
        <v>626</v>
      </c>
      <c r="D49" t="s">
        <v>145</v>
      </c>
      <c r="E49" t="s">
        <v>34</v>
      </c>
      <c r="F49" t="s">
        <v>99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627</v>
      </c>
      <c r="C50" s="205"/>
      <c r="D50" t="s">
        <v>145</v>
      </c>
      <c r="E50" t="s">
        <v>34</v>
      </c>
      <c r="F50" t="s">
        <v>98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571</v>
      </c>
      <c r="C51" s="205" t="s">
        <v>628</v>
      </c>
      <c r="D51" t="s">
        <v>559</v>
      </c>
      <c r="E51" t="s">
        <v>34</v>
      </c>
      <c r="F51" t="s">
        <v>71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571</v>
      </c>
      <c r="C52" s="205"/>
      <c r="D52" t="s">
        <v>559</v>
      </c>
      <c r="E52" t="s">
        <v>34</v>
      </c>
      <c r="F52" t="s">
        <v>77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629</v>
      </c>
      <c r="C53" s="205"/>
      <c r="D53" t="s">
        <v>145</v>
      </c>
      <c r="E53" t="s">
        <v>190</v>
      </c>
      <c r="F53" t="s">
        <v>108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573</v>
      </c>
      <c r="C54" s="205"/>
      <c r="D54" t="s">
        <v>145</v>
      </c>
      <c r="E54" t="s">
        <v>190</v>
      </c>
      <c r="F54" t="s">
        <v>106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593</v>
      </c>
      <c r="C55" s="205"/>
      <c r="D55" t="s">
        <v>145</v>
      </c>
      <c r="E55" t="s">
        <v>190</v>
      </c>
      <c r="F55" t="s">
        <v>109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630</v>
      </c>
      <c r="C56" s="205"/>
      <c r="D56" t="s">
        <v>145</v>
      </c>
      <c r="E56" t="s">
        <v>190</v>
      </c>
      <c r="F56" t="s">
        <v>111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592</v>
      </c>
      <c r="C57" s="205"/>
      <c r="D57" t="s">
        <v>145</v>
      </c>
      <c r="E57" t="s">
        <v>190</v>
      </c>
      <c r="F57" t="s">
        <v>631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592</v>
      </c>
      <c r="C58" s="205"/>
      <c r="D58" t="s">
        <v>145</v>
      </c>
      <c r="E58" t="s">
        <v>190</v>
      </c>
      <c r="F58" t="s">
        <v>113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632</v>
      </c>
      <c r="C59" s="205"/>
      <c r="D59" t="s">
        <v>559</v>
      </c>
      <c r="E59" t="s">
        <v>190</v>
      </c>
      <c r="F59" t="s">
        <v>63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633</v>
      </c>
      <c r="C60" s="205"/>
      <c r="D60" t="s">
        <v>559</v>
      </c>
      <c r="E60" t="s">
        <v>190</v>
      </c>
      <c r="F60" t="s">
        <v>62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572</v>
      </c>
      <c r="C61" s="205"/>
      <c r="D61" t="s">
        <v>559</v>
      </c>
      <c r="E61" t="s">
        <v>190</v>
      </c>
      <c r="F61" t="s">
        <v>67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612</v>
      </c>
      <c r="C62" s="205"/>
      <c r="D62" t="s">
        <v>559</v>
      </c>
      <c r="E62" t="s">
        <v>190</v>
      </c>
      <c r="F62" t="s">
        <v>45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572</v>
      </c>
      <c r="C63" s="205"/>
      <c r="D63" t="s">
        <v>559</v>
      </c>
      <c r="E63" t="s">
        <v>190</v>
      </c>
      <c r="F63" t="s">
        <v>46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632</v>
      </c>
      <c r="C64" s="205"/>
      <c r="D64" t="s">
        <v>559</v>
      </c>
      <c r="E64" t="s">
        <v>190</v>
      </c>
      <c r="F64" t="s">
        <v>44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634</v>
      </c>
      <c r="C65" s="205"/>
      <c r="D65" t="s">
        <v>559</v>
      </c>
      <c r="E65" t="s">
        <v>190</v>
      </c>
      <c r="F65" t="s">
        <v>43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592</v>
      </c>
      <c r="C66" s="205"/>
      <c r="D66" t="s">
        <v>145</v>
      </c>
      <c r="E66" t="s">
        <v>51</v>
      </c>
      <c r="F66" t="s">
        <v>370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603</v>
      </c>
      <c r="C67" s="205" t="s">
        <v>635</v>
      </c>
      <c r="D67" t="s">
        <v>145</v>
      </c>
      <c r="E67" t="s">
        <v>51</v>
      </c>
      <c r="F67" t="s">
        <v>97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590</v>
      </c>
      <c r="C68" s="205"/>
      <c r="D68" t="s">
        <v>145</v>
      </c>
      <c r="E68" t="s">
        <v>51</v>
      </c>
      <c r="F68" t="s">
        <v>130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636</v>
      </c>
      <c r="C69" s="205"/>
      <c r="D69" t="s">
        <v>145</v>
      </c>
      <c r="E69" t="s">
        <v>51</v>
      </c>
      <c r="F69" t="s">
        <v>120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592</v>
      </c>
      <c r="C70" s="205"/>
      <c r="D70" t="s">
        <v>145</v>
      </c>
      <c r="E70" t="s">
        <v>51</v>
      </c>
      <c r="F70" t="s">
        <v>110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637</v>
      </c>
      <c r="C71" s="205"/>
      <c r="D71" t="s">
        <v>559</v>
      </c>
      <c r="E71" t="s">
        <v>51</v>
      </c>
      <c r="F71" t="s">
        <v>58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638</v>
      </c>
      <c r="C72" s="205"/>
      <c r="D72" t="s">
        <v>559</v>
      </c>
      <c r="E72" t="s">
        <v>51</v>
      </c>
      <c r="F72" t="s">
        <v>65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639</v>
      </c>
      <c r="C73" s="205" t="s">
        <v>640</v>
      </c>
      <c r="D73" t="s">
        <v>559</v>
      </c>
      <c r="E73" t="s">
        <v>51</v>
      </c>
      <c r="F73" t="s">
        <v>40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590</v>
      </c>
      <c r="C74" s="205"/>
      <c r="D74" t="s">
        <v>145</v>
      </c>
      <c r="E74" t="s">
        <v>641</v>
      </c>
      <c r="F74" t="s">
        <v>142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642</v>
      </c>
      <c r="C75" s="205"/>
      <c r="D75" t="s">
        <v>145</v>
      </c>
      <c r="E75" t="s">
        <v>641</v>
      </c>
      <c r="F75" t="s">
        <v>118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643</v>
      </c>
      <c r="C76" s="205"/>
      <c r="D76" t="s">
        <v>145</v>
      </c>
      <c r="E76" t="s">
        <v>641</v>
      </c>
      <c r="F76" t="s">
        <v>143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644</v>
      </c>
      <c r="C77" s="205" t="s">
        <v>645</v>
      </c>
      <c r="D77"/>
      <c r="E77"/>
      <c r="F77" t="s">
        <v>646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647</v>
      </c>
      <c r="D78" t="s">
        <v>145</v>
      </c>
      <c r="E78" t="s">
        <v>641</v>
      </c>
      <c r="F78" t="s">
        <v>141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648</v>
      </c>
      <c r="D79" t="s">
        <v>145</v>
      </c>
      <c r="E79" t="s">
        <v>641</v>
      </c>
      <c r="F79" t="s">
        <v>139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649</v>
      </c>
      <c r="D80" t="s">
        <v>145</v>
      </c>
      <c r="E80" t="s">
        <v>641</v>
      </c>
      <c r="F80" t="s">
        <v>135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571</v>
      </c>
      <c r="D81" t="s">
        <v>559</v>
      </c>
      <c r="E81" t="s">
        <v>641</v>
      </c>
      <c r="F81" t="s">
        <v>650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632</v>
      </c>
      <c r="D82" t="s">
        <v>559</v>
      </c>
      <c r="E82" t="s">
        <v>641</v>
      </c>
      <c r="F82" t="s">
        <v>140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572</v>
      </c>
      <c r="D83" t="s">
        <v>559</v>
      </c>
      <c r="E83" t="s">
        <v>641</v>
      </c>
      <c r="F83" t="s">
        <v>61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651</v>
      </c>
      <c r="D84" t="s">
        <v>559</v>
      </c>
      <c r="E84" t="s">
        <v>641</v>
      </c>
      <c r="F84" t="s">
        <v>55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652</v>
      </c>
      <c r="D85" t="s">
        <v>559</v>
      </c>
      <c r="E85" t="s">
        <v>641</v>
      </c>
      <c r="F85" t="s">
        <v>66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644</v>
      </c>
      <c r="C86" s="87" t="s">
        <v>653</v>
      </c>
      <c r="D86" t="s">
        <v>145</v>
      </c>
      <c r="F86" t="s">
        <v>654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655</v>
      </c>
      <c r="D87" t="s">
        <v>559</v>
      </c>
      <c r="F87" t="s">
        <v>54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571</v>
      </c>
      <c r="D88" t="s">
        <v>559</v>
      </c>
      <c r="F88" t="s">
        <v>656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639</v>
      </c>
      <c r="F89" t="s">
        <v>657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648</v>
      </c>
      <c r="F90" t="s">
        <v>89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639</v>
      </c>
      <c r="D91" t="s">
        <v>559</v>
      </c>
      <c r="F91" t="s">
        <v>658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659</v>
      </c>
      <c r="D92" t="s">
        <v>145</v>
      </c>
      <c r="F92" t="s">
        <v>104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660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661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572</v>
      </c>
      <c r="F95" t="s">
        <v>68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662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145</v>
      </c>
      <c r="E100" t="s">
        <v>23</v>
      </c>
      <c r="F100" t="s">
        <v>50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145</v>
      </c>
      <c r="E101" t="s">
        <v>23</v>
      </c>
      <c r="F101" t="s">
        <v>56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145</v>
      </c>
      <c r="E102" t="s">
        <v>23</v>
      </c>
      <c r="F102" t="s">
        <v>49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559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559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559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559</v>
      </c>
      <c r="E106" t="s">
        <v>23</v>
      </c>
      <c r="F106" t="s">
        <v>72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559</v>
      </c>
      <c r="E107" t="s">
        <v>23</v>
      </c>
      <c r="F107" t="s">
        <v>73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559</v>
      </c>
      <c r="E108" t="s">
        <v>23</v>
      </c>
      <c r="F108" t="s">
        <v>75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559</v>
      </c>
      <c r="E109" t="s">
        <v>23</v>
      </c>
      <c r="F109" t="s">
        <v>74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559</v>
      </c>
      <c r="E110" t="s">
        <v>23</v>
      </c>
      <c r="F110" t="s">
        <v>76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145</v>
      </c>
      <c r="E112" s="91" t="s">
        <v>557</v>
      </c>
      <c r="F112" s="91" t="s">
        <v>558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559</v>
      </c>
      <c r="E113" s="91" t="s">
        <v>557</v>
      </c>
      <c r="F113" s="91" t="s">
        <v>558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145</v>
      </c>
      <c r="E117" t="s">
        <v>601</v>
      </c>
      <c r="F117" t="s">
        <v>91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145</v>
      </c>
      <c r="E118" t="s">
        <v>601</v>
      </c>
      <c r="F118" t="s">
        <v>38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145</v>
      </c>
      <c r="E119" t="s">
        <v>601</v>
      </c>
      <c r="F119" t="s">
        <v>86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145</v>
      </c>
      <c r="E120" t="s">
        <v>601</v>
      </c>
      <c r="F120" t="s">
        <v>85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145</v>
      </c>
      <c r="E121" t="s">
        <v>601</v>
      </c>
      <c r="F121" t="s">
        <v>90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145</v>
      </c>
      <c r="E122" t="s">
        <v>601</v>
      </c>
      <c r="F122" t="s">
        <v>82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145</v>
      </c>
      <c r="E123" t="s">
        <v>601</v>
      </c>
      <c r="F123" t="s">
        <v>87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145</v>
      </c>
      <c r="E124" t="s">
        <v>601</v>
      </c>
      <c r="F124" t="s">
        <v>79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145</v>
      </c>
      <c r="E125" t="s">
        <v>601</v>
      </c>
      <c r="F125" t="s">
        <v>80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145</v>
      </c>
      <c r="E126" t="s">
        <v>601</v>
      </c>
      <c r="F126" t="s">
        <v>93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145</v>
      </c>
      <c r="E127" t="s">
        <v>601</v>
      </c>
      <c r="F127" t="s">
        <v>88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145</v>
      </c>
      <c r="E128" t="s">
        <v>601</v>
      </c>
      <c r="F128" t="s">
        <v>121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145</v>
      </c>
      <c r="E129" t="s">
        <v>601</v>
      </c>
      <c r="F129" t="s">
        <v>83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145</v>
      </c>
      <c r="E130" t="s">
        <v>601</v>
      </c>
      <c r="F130" t="s">
        <v>125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145</v>
      </c>
      <c r="E131" t="s">
        <v>601</v>
      </c>
      <c r="F131" t="s">
        <v>128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145</v>
      </c>
      <c r="E132" t="s">
        <v>601</v>
      </c>
      <c r="F132" t="s">
        <v>84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559</v>
      </c>
      <c r="E133" t="s">
        <v>601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559</v>
      </c>
      <c r="E134" t="s">
        <v>601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559</v>
      </c>
      <c r="E135" t="s">
        <v>601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559</v>
      </c>
      <c r="E136" t="s">
        <v>601</v>
      </c>
      <c r="F136" t="s">
        <v>565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559</v>
      </c>
      <c r="E137" t="s">
        <v>601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559</v>
      </c>
      <c r="E138" t="s">
        <v>601</v>
      </c>
      <c r="F138" t="s">
        <v>41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559</v>
      </c>
      <c r="E139" t="s">
        <v>601</v>
      </c>
      <c r="F139" t="s">
        <v>123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559</v>
      </c>
      <c r="E140" t="s">
        <v>601</v>
      </c>
      <c r="F140" t="s">
        <v>60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559</v>
      </c>
      <c r="E141" t="s">
        <v>601</v>
      </c>
      <c r="F141" t="s">
        <v>59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559</v>
      </c>
      <c r="E142" t="s">
        <v>601</v>
      </c>
      <c r="F142" t="s">
        <v>64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559</v>
      </c>
      <c r="E143" t="s">
        <v>601</v>
      </c>
      <c r="F143" t="s">
        <v>69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559</v>
      </c>
      <c r="E144" t="s">
        <v>601</v>
      </c>
      <c r="F144" t="s">
        <v>70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559</v>
      </c>
      <c r="E145" t="s">
        <v>601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559</v>
      </c>
      <c r="E146" t="s">
        <v>601</v>
      </c>
      <c r="F146" t="s">
        <v>580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145</v>
      </c>
      <c r="E148" s="91" t="s">
        <v>663</v>
      </c>
      <c r="F148" s="91" t="s">
        <v>558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559</v>
      </c>
      <c r="E149" s="91" t="s">
        <v>663</v>
      </c>
      <c r="F149" s="91" t="s">
        <v>558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145</v>
      </c>
      <c r="E153" t="s">
        <v>34</v>
      </c>
      <c r="F153" t="s">
        <v>102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145</v>
      </c>
      <c r="E154" t="s">
        <v>34</v>
      </c>
      <c r="F154" t="s">
        <v>99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145</v>
      </c>
      <c r="E155" t="s">
        <v>34</v>
      </c>
      <c r="F155" t="s">
        <v>98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559</v>
      </c>
      <c r="E156" t="s">
        <v>34</v>
      </c>
      <c r="F156" t="s">
        <v>71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559</v>
      </c>
      <c r="E157" t="s">
        <v>34</v>
      </c>
      <c r="F157" t="s">
        <v>77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145</v>
      </c>
      <c r="E159" s="91" t="s">
        <v>148</v>
      </c>
      <c r="F159" s="91" t="s">
        <v>558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559</v>
      </c>
      <c r="E160" s="91" t="s">
        <v>148</v>
      </c>
      <c r="F160" s="91" t="s">
        <v>558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145</v>
      </c>
      <c r="E164" t="s">
        <v>190</v>
      </c>
      <c r="F164" t="s">
        <v>108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145</v>
      </c>
      <c r="E165" t="s">
        <v>190</v>
      </c>
      <c r="F165" t="s">
        <v>106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145</v>
      </c>
      <c r="E166" t="s">
        <v>190</v>
      </c>
      <c r="F166" t="s">
        <v>109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145</v>
      </c>
      <c r="E167" t="s">
        <v>190</v>
      </c>
      <c r="F167" t="s">
        <v>111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145</v>
      </c>
      <c r="E168" t="s">
        <v>190</v>
      </c>
      <c r="F168" t="s">
        <v>107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145</v>
      </c>
      <c r="E169" t="s">
        <v>190</v>
      </c>
      <c r="F169" t="s">
        <v>113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145</v>
      </c>
      <c r="E170" t="s">
        <v>190</v>
      </c>
      <c r="F170" t="s">
        <v>112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559</v>
      </c>
      <c r="E171" t="s">
        <v>190</v>
      </c>
      <c r="F171" t="s">
        <v>63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559</v>
      </c>
      <c r="E172" t="s">
        <v>190</v>
      </c>
      <c r="F172" t="s">
        <v>62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559</v>
      </c>
      <c r="E173" t="s">
        <v>190</v>
      </c>
      <c r="F173" t="s">
        <v>67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559</v>
      </c>
      <c r="E174" t="s">
        <v>190</v>
      </c>
      <c r="F174" t="s">
        <v>45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559</v>
      </c>
      <c r="E175" t="s">
        <v>190</v>
      </c>
      <c r="F175" t="s">
        <v>46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559</v>
      </c>
      <c r="E176" t="s">
        <v>190</v>
      </c>
      <c r="F176" t="s">
        <v>44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559</v>
      </c>
      <c r="E177" t="s">
        <v>190</v>
      </c>
      <c r="F177" t="s">
        <v>43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145</v>
      </c>
      <c r="E179" s="91" t="s">
        <v>665</v>
      </c>
      <c r="F179" s="91" t="s">
        <v>558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559</v>
      </c>
      <c r="E180" s="91" t="s">
        <v>665</v>
      </c>
      <c r="F180" s="91" t="s">
        <v>558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145</v>
      </c>
      <c r="E184" t="s">
        <v>51</v>
      </c>
      <c r="F184" t="s">
        <v>370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145</v>
      </c>
      <c r="E185" t="s">
        <v>51</v>
      </c>
      <c r="F185" t="s">
        <v>97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145</v>
      </c>
      <c r="E186" t="s">
        <v>51</v>
      </c>
      <c r="F186" t="s">
        <v>130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145</v>
      </c>
      <c r="E187" t="s">
        <v>51</v>
      </c>
      <c r="F187" t="s">
        <v>120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145</v>
      </c>
      <c r="E188" t="s">
        <v>51</v>
      </c>
      <c r="F188" t="s">
        <v>110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559</v>
      </c>
      <c r="E189" t="s">
        <v>51</v>
      </c>
      <c r="F189" t="s">
        <v>58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559</v>
      </c>
      <c r="E190" t="s">
        <v>51</v>
      </c>
      <c r="F190" t="s">
        <v>65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559</v>
      </c>
      <c r="E191" s="97" t="s">
        <v>51</v>
      </c>
      <c r="F191" s="97" t="s">
        <v>40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145</v>
      </c>
      <c r="E193" s="91" t="s">
        <v>665</v>
      </c>
      <c r="F193" s="91" t="s">
        <v>558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559</v>
      </c>
      <c r="E194" s="91" t="s">
        <v>665</v>
      </c>
      <c r="F194" s="91" t="s">
        <v>558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145</v>
      </c>
      <c r="E198" t="s">
        <v>641</v>
      </c>
      <c r="F198" t="s">
        <v>142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145</v>
      </c>
      <c r="E199" t="s">
        <v>641</v>
      </c>
      <c r="F199" t="s">
        <v>118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145</v>
      </c>
      <c r="E200" t="s">
        <v>641</v>
      </c>
      <c r="F200" t="s">
        <v>143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145</v>
      </c>
      <c r="E201" t="s">
        <v>641</v>
      </c>
      <c r="F201" t="s">
        <v>141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145</v>
      </c>
      <c r="E202" t="s">
        <v>641</v>
      </c>
      <c r="F202" t="s">
        <v>139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145</v>
      </c>
      <c r="E203" t="s">
        <v>641</v>
      </c>
      <c r="F203" t="s">
        <v>135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559</v>
      </c>
      <c r="E204" t="s">
        <v>641</v>
      </c>
      <c r="F204" t="s">
        <v>670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559</v>
      </c>
      <c r="E205" t="s">
        <v>641</v>
      </c>
      <c r="F205" t="s">
        <v>650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559</v>
      </c>
      <c r="E206" t="s">
        <v>641</v>
      </c>
      <c r="F206" t="s">
        <v>140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559</v>
      </c>
      <c r="E207" t="s">
        <v>641</v>
      </c>
      <c r="F207" t="s">
        <v>61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559</v>
      </c>
      <c r="E208" t="s">
        <v>641</v>
      </c>
      <c r="F208" t="s">
        <v>55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559</v>
      </c>
      <c r="E209" t="s">
        <v>641</v>
      </c>
      <c r="F209" t="s">
        <v>66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145</v>
      </c>
      <c r="E211" s="91" t="s">
        <v>665</v>
      </c>
      <c r="F211" s="91" t="s">
        <v>558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559</v>
      </c>
      <c r="E212" s="91" t="s">
        <v>665</v>
      </c>
      <c r="F212" s="91" t="s">
        <v>558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671</v>
      </c>
      <c r="C2" s="76" t="s">
        <v>672</v>
      </c>
      <c r="D2" s="76" t="s">
        <v>673</v>
      </c>
      <c r="E2" s="73"/>
      <c r="F2" s="80"/>
    </row>
    <row r="3" spans="1:13">
      <c r="B3" t="s">
        <v>674</v>
      </c>
      <c r="C3" s="85">
        <v>3.12</v>
      </c>
      <c r="D3" s="84">
        <v>3.07</v>
      </c>
      <c r="E3" s="73"/>
      <c r="F3" s="80"/>
    </row>
    <row r="4" spans="1:13">
      <c r="B4" t="s">
        <v>675</v>
      </c>
      <c r="C4" s="86">
        <v>2.4700000000000002</v>
      </c>
      <c r="D4" s="84">
        <v>1.63</v>
      </c>
    </row>
    <row r="5" spans="1:13">
      <c r="B5" t="s">
        <v>676</v>
      </c>
      <c r="C5" s="86">
        <v>3.08</v>
      </c>
      <c r="D5" s="84">
        <v>1.73</v>
      </c>
    </row>
    <row r="6" spans="1:13">
      <c r="B6" t="s">
        <v>677</v>
      </c>
      <c r="C6" s="86">
        <v>1.81</v>
      </c>
      <c r="D6" s="84">
        <v>1.21</v>
      </c>
    </row>
    <row r="7" spans="1:13">
      <c r="B7" t="s">
        <v>678</v>
      </c>
      <c r="C7" s="86">
        <v>1.67</v>
      </c>
      <c r="D7" s="84">
        <v>1.1200000000000001</v>
      </c>
    </row>
    <row r="8" spans="1:13">
      <c r="B8" t="s">
        <v>679</v>
      </c>
      <c r="C8" s="86">
        <v>2.27</v>
      </c>
      <c r="D8" s="84">
        <v>1.51</v>
      </c>
    </row>
    <row r="11" spans="1:13">
      <c r="A11" s="89"/>
      <c r="B11" t="s">
        <v>680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681</v>
      </c>
      <c r="D13" s="76" t="s">
        <v>682</v>
      </c>
      <c r="E13" s="206" t="s">
        <v>683</v>
      </c>
      <c r="I13" s="87"/>
      <c r="J13" s="87"/>
      <c r="K13" s="87"/>
      <c r="L13" s="87"/>
      <c r="M13" s="87"/>
    </row>
    <row r="14" spans="1:13">
      <c r="A14" s="89"/>
      <c r="B14" t="s">
        <v>146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684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685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686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687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688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689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681</v>
      </c>
      <c r="D24" s="76" t="s">
        <v>682</v>
      </c>
      <c r="E24" s="106"/>
    </row>
    <row r="25" spans="1:10">
      <c r="A25" s="106"/>
      <c r="B25" t="s">
        <v>146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684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685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686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690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687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688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691</v>
      </c>
    </row>
    <row r="34" spans="1:10">
      <c r="A34" s="90"/>
    </row>
    <row r="35" spans="1:10">
      <c r="A35" s="90"/>
      <c r="B35" s="76" t="s">
        <v>5</v>
      </c>
      <c r="C35" s="76" t="s">
        <v>681</v>
      </c>
      <c r="D35" s="76" t="s">
        <v>682</v>
      </c>
      <c r="E35" s="206" t="s">
        <v>683</v>
      </c>
    </row>
    <row r="36" spans="1:10">
      <c r="A36" s="90"/>
      <c r="B36" t="s">
        <v>146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684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685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686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687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688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692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681</v>
      </c>
      <c r="D47" s="76" t="s">
        <v>682</v>
      </c>
      <c r="E47" s="106"/>
    </row>
    <row r="48" spans="1:10">
      <c r="A48" s="106"/>
      <c r="B48" t="s">
        <v>146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693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685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686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690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687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688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694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681</v>
      </c>
      <c r="D59" s="76" t="s">
        <v>682</v>
      </c>
    </row>
    <row r="60" spans="1:10">
      <c r="A60" s="91"/>
      <c r="B60" t="s">
        <v>90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97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98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695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688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696</v>
      </c>
      <c r="C2" s="278"/>
      <c r="E2" s="274" t="s">
        <v>697</v>
      </c>
      <c r="F2" s="275"/>
      <c r="H2" s="274" t="s">
        <v>698</v>
      </c>
      <c r="I2" s="275"/>
      <c r="K2" s="274" t="s">
        <v>699</v>
      </c>
      <c r="L2" s="275"/>
      <c r="N2" s="274" t="s">
        <v>700</v>
      </c>
      <c r="O2" s="275"/>
      <c r="Q2" s="274" t="s">
        <v>701</v>
      </c>
      <c r="R2" s="275"/>
      <c r="T2" s="274" t="s">
        <v>702</v>
      </c>
      <c r="U2" s="275"/>
      <c r="W2" s="274" t="s">
        <v>703</v>
      </c>
      <c r="X2" s="275"/>
    </row>
    <row r="3" spans="1:24">
      <c r="B3" s="279"/>
      <c r="C3" s="280"/>
      <c r="E3" s="126" t="s">
        <v>704</v>
      </c>
      <c r="F3" s="128" t="s">
        <v>705</v>
      </c>
      <c r="H3" s="126" t="s">
        <v>704</v>
      </c>
      <c r="I3" s="128" t="s">
        <v>705</v>
      </c>
      <c r="K3" s="126" t="s">
        <v>704</v>
      </c>
      <c r="L3" s="128" t="s">
        <v>705</v>
      </c>
      <c r="N3" s="126" t="s">
        <v>704</v>
      </c>
      <c r="O3" s="128" t="s">
        <v>705</v>
      </c>
      <c r="Q3" s="126" t="s">
        <v>704</v>
      </c>
      <c r="R3" s="128" t="s">
        <v>705</v>
      </c>
      <c r="T3" s="126" t="s">
        <v>704</v>
      </c>
      <c r="U3" s="128" t="s">
        <v>705</v>
      </c>
      <c r="W3" s="126" t="s">
        <v>704</v>
      </c>
      <c r="X3" s="128" t="s">
        <v>705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706</v>
      </c>
      <c r="C6" s="136" t="s">
        <v>707</v>
      </c>
      <c r="D6" s="120"/>
      <c r="E6" s="133" t="s">
        <v>708</v>
      </c>
      <c r="F6" s="130" t="s">
        <v>709</v>
      </c>
      <c r="G6" s="119"/>
      <c r="H6" s="133" t="s">
        <v>708</v>
      </c>
      <c r="I6" s="130" t="s">
        <v>709</v>
      </c>
      <c r="J6" s="119"/>
      <c r="K6" s="133" t="s">
        <v>708</v>
      </c>
      <c r="L6" s="130" t="s">
        <v>709</v>
      </c>
      <c r="N6" s="133" t="s">
        <v>708</v>
      </c>
      <c r="O6" s="130" t="s">
        <v>709</v>
      </c>
      <c r="Q6" s="133" t="s">
        <v>708</v>
      </c>
      <c r="R6" s="130" t="s">
        <v>709</v>
      </c>
      <c r="T6" s="133" t="s">
        <v>708</v>
      </c>
      <c r="U6" s="130" t="s">
        <v>709</v>
      </c>
      <c r="W6" s="133" t="s">
        <v>708</v>
      </c>
      <c r="X6" s="130" t="s">
        <v>709</v>
      </c>
    </row>
    <row r="7" spans="1:24">
      <c r="B7" s="94" t="s">
        <v>49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710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711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123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712</v>
      </c>
      <c r="C12" s="122"/>
      <c r="D12" s="121"/>
      <c r="E12" s="133" t="s">
        <v>708</v>
      </c>
      <c r="F12" s="130" t="s">
        <v>709</v>
      </c>
      <c r="G12" s="119"/>
      <c r="H12" s="133" t="s">
        <v>708</v>
      </c>
      <c r="I12" s="130" t="s">
        <v>709</v>
      </c>
      <c r="J12" s="119"/>
      <c r="K12" s="133" t="s">
        <v>708</v>
      </c>
      <c r="L12" s="130" t="s">
        <v>709</v>
      </c>
      <c r="N12" s="133" t="s">
        <v>708</v>
      </c>
      <c r="O12" s="130" t="s">
        <v>709</v>
      </c>
      <c r="Q12" s="133" t="s">
        <v>708</v>
      </c>
      <c r="R12" s="130" t="s">
        <v>709</v>
      </c>
      <c r="T12" s="133" t="s">
        <v>708</v>
      </c>
      <c r="U12" s="130" t="s">
        <v>709</v>
      </c>
      <c r="W12" s="133" t="s">
        <v>708</v>
      </c>
      <c r="X12" s="130" t="s">
        <v>709</v>
      </c>
    </row>
    <row r="13" spans="1:24">
      <c r="B13" s="94" t="s">
        <v>713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99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98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97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714</v>
      </c>
      <c r="C18" s="122"/>
      <c r="D18" s="121"/>
      <c r="E18" s="133" t="s">
        <v>708</v>
      </c>
      <c r="F18" s="130" t="s">
        <v>709</v>
      </c>
      <c r="G18" s="119"/>
      <c r="H18" s="133" t="s">
        <v>708</v>
      </c>
      <c r="I18" s="130" t="s">
        <v>709</v>
      </c>
      <c r="J18" s="119"/>
      <c r="K18" s="133" t="s">
        <v>708</v>
      </c>
      <c r="L18" s="130" t="s">
        <v>709</v>
      </c>
      <c r="N18" s="133" t="s">
        <v>708</v>
      </c>
      <c r="O18" s="130" t="s">
        <v>709</v>
      </c>
      <c r="Q18" s="133" t="s">
        <v>708</v>
      </c>
      <c r="R18" s="130" t="s">
        <v>709</v>
      </c>
      <c r="T18" s="133" t="s">
        <v>708</v>
      </c>
      <c r="U18" s="130" t="s">
        <v>709</v>
      </c>
      <c r="W18" s="133" t="s">
        <v>708</v>
      </c>
      <c r="X18" s="130" t="s">
        <v>709</v>
      </c>
    </row>
    <row r="19" spans="1:24">
      <c r="B19" s="94" t="s">
        <v>715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88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91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365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121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313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716</v>
      </c>
      <c r="C26" s="122"/>
      <c r="D26" s="121"/>
      <c r="E26" s="133" t="s">
        <v>708</v>
      </c>
      <c r="F26" s="130" t="s">
        <v>709</v>
      </c>
      <c r="G26" s="119"/>
      <c r="H26" s="133" t="s">
        <v>708</v>
      </c>
      <c r="I26" s="130" t="s">
        <v>709</v>
      </c>
      <c r="J26" s="119"/>
      <c r="K26" s="133" t="s">
        <v>708</v>
      </c>
      <c r="L26" s="130" t="s">
        <v>709</v>
      </c>
      <c r="N26" s="133" t="s">
        <v>708</v>
      </c>
      <c r="O26" s="130" t="s">
        <v>709</v>
      </c>
      <c r="Q26" s="133" t="s">
        <v>708</v>
      </c>
      <c r="R26" s="130" t="s">
        <v>709</v>
      </c>
      <c r="T26" s="133" t="s">
        <v>708</v>
      </c>
      <c r="U26" s="130" t="s">
        <v>709</v>
      </c>
      <c r="W26" s="133" t="s">
        <v>708</v>
      </c>
      <c r="X26" s="130" t="s">
        <v>709</v>
      </c>
    </row>
    <row r="27" spans="1:24">
      <c r="B27" s="94" t="s">
        <v>717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109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111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718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108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719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720</v>
      </c>
      <c r="C34" s="122"/>
      <c r="D34" s="121"/>
      <c r="E34" s="133" t="s">
        <v>708</v>
      </c>
      <c r="F34" s="130" t="s">
        <v>709</v>
      </c>
      <c r="G34" s="119"/>
      <c r="H34" s="133" t="s">
        <v>708</v>
      </c>
      <c r="I34" s="130" t="s">
        <v>709</v>
      </c>
      <c r="J34" s="119"/>
      <c r="K34" s="133" t="s">
        <v>708</v>
      </c>
      <c r="L34" s="130" t="s">
        <v>709</v>
      </c>
      <c r="N34" s="133" t="s">
        <v>708</v>
      </c>
      <c r="O34" s="130" t="s">
        <v>709</v>
      </c>
      <c r="Q34" s="133" t="s">
        <v>708</v>
      </c>
      <c r="R34" s="130" t="s">
        <v>709</v>
      </c>
      <c r="T34" s="133" t="s">
        <v>708</v>
      </c>
      <c r="U34" s="130" t="s">
        <v>709</v>
      </c>
      <c r="W34" s="133" t="s">
        <v>708</v>
      </c>
      <c r="X34" s="130" t="s">
        <v>709</v>
      </c>
    </row>
    <row r="35" spans="1:24">
      <c r="B35" s="94" t="s">
        <v>128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120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110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370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721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695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722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84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90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723</v>
      </c>
      <c r="C45" s="122"/>
      <c r="D45" s="121"/>
      <c r="E45" s="133" t="s">
        <v>708</v>
      </c>
      <c r="F45" s="130" t="s">
        <v>709</v>
      </c>
      <c r="G45" s="119"/>
      <c r="H45" s="133" t="s">
        <v>708</v>
      </c>
      <c r="I45" s="130" t="s">
        <v>709</v>
      </c>
      <c r="J45" s="119"/>
      <c r="K45" s="133" t="s">
        <v>708</v>
      </c>
      <c r="L45" s="130" t="s">
        <v>709</v>
      </c>
      <c r="N45" s="133" t="s">
        <v>708</v>
      </c>
      <c r="O45" s="130" t="s">
        <v>709</v>
      </c>
      <c r="Q45" s="133" t="s">
        <v>708</v>
      </c>
      <c r="R45" s="130" t="s">
        <v>709</v>
      </c>
      <c r="T45" s="133" t="s">
        <v>708</v>
      </c>
      <c r="U45" s="130" t="s">
        <v>709</v>
      </c>
      <c r="W45" s="133" t="s">
        <v>708</v>
      </c>
      <c r="X45" s="130" t="s">
        <v>709</v>
      </c>
    </row>
    <row r="46" spans="1:24">
      <c r="A46" s="114"/>
      <c r="B46" s="118" t="s">
        <v>141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135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142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139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724</v>
      </c>
      <c r="C52" s="282"/>
    </row>
    <row r="53" spans="2:24">
      <c r="B53" s="116" t="s">
        <v>5</v>
      </c>
      <c r="C53" s="117" t="s">
        <v>725</v>
      </c>
    </row>
    <row r="54" spans="2:24">
      <c r="B54" s="94" t="s">
        <v>146</v>
      </c>
      <c r="C54" s="134">
        <v>3.12</v>
      </c>
    </row>
    <row r="55" spans="2:24">
      <c r="B55" s="94" t="s">
        <v>148</v>
      </c>
      <c r="C55" s="134">
        <v>2.1800000000000002</v>
      </c>
    </row>
    <row r="56" spans="2:24">
      <c r="B56" s="94" t="s">
        <v>147</v>
      </c>
      <c r="C56" s="134">
        <v>2.4700000000000002</v>
      </c>
    </row>
    <row r="57" spans="2:24">
      <c r="B57" s="94" t="s">
        <v>685</v>
      </c>
      <c r="C57" s="134">
        <v>1.81</v>
      </c>
    </row>
    <row r="58" spans="2:24">
      <c r="B58" s="94" t="s">
        <v>690</v>
      </c>
      <c r="C58" s="134">
        <v>1.67</v>
      </c>
    </row>
    <row r="59" spans="2:24">
      <c r="B59" s="96" t="s">
        <v>687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103</v>
      </c>
    </row>
    <row r="65" spans="2:2">
      <c r="B65" t="s">
        <v>79</v>
      </c>
    </row>
    <row r="66" spans="2:2">
      <c r="B66" t="s">
        <v>726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696</v>
      </c>
      <c r="C2" s="278"/>
      <c r="E2" s="274" t="s">
        <v>697</v>
      </c>
      <c r="F2" s="275"/>
      <c r="H2" s="274" t="s">
        <v>698</v>
      </c>
      <c r="I2" s="275"/>
      <c r="K2" s="274" t="s">
        <v>699</v>
      </c>
      <c r="L2" s="275"/>
      <c r="N2" s="274" t="s">
        <v>700</v>
      </c>
      <c r="O2" s="275"/>
      <c r="Q2" s="274" t="s">
        <v>701</v>
      </c>
      <c r="R2" s="275"/>
      <c r="T2" s="274" t="s">
        <v>702</v>
      </c>
      <c r="U2" s="275"/>
      <c r="W2" s="274" t="s">
        <v>703</v>
      </c>
      <c r="X2" s="275"/>
    </row>
    <row r="3" spans="1:24">
      <c r="B3" s="279"/>
      <c r="C3" s="280"/>
      <c r="E3" s="126" t="s">
        <v>704</v>
      </c>
      <c r="F3" s="128" t="s">
        <v>705</v>
      </c>
      <c r="H3" s="126" t="s">
        <v>704</v>
      </c>
      <c r="I3" s="128" t="s">
        <v>705</v>
      </c>
      <c r="K3" s="126" t="s">
        <v>704</v>
      </c>
      <c r="L3" s="128" t="s">
        <v>705</v>
      </c>
      <c r="N3" s="126" t="s">
        <v>704</v>
      </c>
      <c r="O3" s="128" t="s">
        <v>705</v>
      </c>
      <c r="Q3" s="126" t="s">
        <v>704</v>
      </c>
      <c r="R3" s="128" t="s">
        <v>705</v>
      </c>
      <c r="T3" s="126" t="s">
        <v>704</v>
      </c>
      <c r="U3" s="128" t="s">
        <v>705</v>
      </c>
      <c r="W3" s="126" t="s">
        <v>704</v>
      </c>
      <c r="X3" s="128" t="s">
        <v>705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706</v>
      </c>
      <c r="C6" s="136" t="s">
        <v>707</v>
      </c>
      <c r="D6" s="120"/>
      <c r="E6" s="133" t="s">
        <v>708</v>
      </c>
      <c r="F6" s="130" t="s">
        <v>709</v>
      </c>
      <c r="G6" s="119"/>
      <c r="H6" s="133" t="s">
        <v>708</v>
      </c>
      <c r="I6" s="130" t="s">
        <v>709</v>
      </c>
      <c r="J6" s="119"/>
      <c r="K6" s="133" t="s">
        <v>708</v>
      </c>
      <c r="L6" s="130" t="s">
        <v>709</v>
      </c>
      <c r="N6" s="133" t="s">
        <v>708</v>
      </c>
      <c r="O6" s="130" t="s">
        <v>709</v>
      </c>
      <c r="Q6" s="133" t="s">
        <v>708</v>
      </c>
      <c r="R6" s="130" t="s">
        <v>709</v>
      </c>
      <c r="T6" s="133" t="s">
        <v>708</v>
      </c>
      <c r="U6" s="130" t="s">
        <v>709</v>
      </c>
      <c r="W6" s="133" t="s">
        <v>708</v>
      </c>
      <c r="X6" s="130" t="s">
        <v>709</v>
      </c>
    </row>
    <row r="7" spans="1:24">
      <c r="B7" s="94" t="s">
        <v>49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710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711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712</v>
      </c>
      <c r="C11" s="122"/>
      <c r="D11" s="121"/>
      <c r="E11" s="133" t="s">
        <v>708</v>
      </c>
      <c r="F11" s="130" t="s">
        <v>709</v>
      </c>
      <c r="G11" s="119"/>
      <c r="H11" s="133" t="s">
        <v>708</v>
      </c>
      <c r="I11" s="130" t="s">
        <v>709</v>
      </c>
      <c r="J11" s="119"/>
      <c r="K11" s="133" t="s">
        <v>708</v>
      </c>
      <c r="L11" s="130" t="s">
        <v>709</v>
      </c>
      <c r="N11" s="133" t="s">
        <v>708</v>
      </c>
      <c r="O11" s="130" t="s">
        <v>709</v>
      </c>
      <c r="Q11" s="133" t="s">
        <v>708</v>
      </c>
      <c r="R11" s="130" t="s">
        <v>709</v>
      </c>
      <c r="T11" s="133" t="s">
        <v>708</v>
      </c>
      <c r="U11" s="130" t="s">
        <v>709</v>
      </c>
      <c r="W11" s="133" t="s">
        <v>708</v>
      </c>
      <c r="X11" s="130" t="s">
        <v>709</v>
      </c>
    </row>
    <row r="12" spans="1:24">
      <c r="B12" s="94" t="s">
        <v>713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99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98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97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714</v>
      </c>
      <c r="C17" s="122"/>
      <c r="D17" s="121"/>
      <c r="E17" s="133" t="s">
        <v>708</v>
      </c>
      <c r="F17" s="130" t="s">
        <v>709</v>
      </c>
      <c r="G17" s="119"/>
      <c r="H17" s="133" t="s">
        <v>708</v>
      </c>
      <c r="I17" s="130" t="s">
        <v>709</v>
      </c>
      <c r="J17" s="119"/>
      <c r="K17" s="133" t="s">
        <v>708</v>
      </c>
      <c r="L17" s="130" t="s">
        <v>709</v>
      </c>
      <c r="N17" s="133" t="s">
        <v>708</v>
      </c>
      <c r="O17" s="130" t="s">
        <v>709</v>
      </c>
      <c r="Q17" s="133" t="s">
        <v>708</v>
      </c>
      <c r="R17" s="130" t="s">
        <v>709</v>
      </c>
      <c r="T17" s="133" t="s">
        <v>708</v>
      </c>
      <c r="U17" s="130" t="s">
        <v>709</v>
      </c>
      <c r="W17" s="133" t="s">
        <v>708</v>
      </c>
      <c r="X17" s="130" t="s">
        <v>709</v>
      </c>
    </row>
    <row r="18" spans="1:24">
      <c r="B18" s="94" t="s">
        <v>715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88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123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91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365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121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313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716</v>
      </c>
      <c r="C26" s="122"/>
      <c r="D26" s="121"/>
      <c r="E26" s="133" t="s">
        <v>708</v>
      </c>
      <c r="F26" s="130" t="s">
        <v>709</v>
      </c>
      <c r="G26" s="119"/>
      <c r="H26" s="133" t="s">
        <v>708</v>
      </c>
      <c r="I26" s="130" t="s">
        <v>709</v>
      </c>
      <c r="J26" s="119"/>
      <c r="K26" s="133" t="s">
        <v>708</v>
      </c>
      <c r="L26" s="130" t="s">
        <v>709</v>
      </c>
      <c r="N26" s="133" t="s">
        <v>708</v>
      </c>
      <c r="O26" s="130" t="s">
        <v>709</v>
      </c>
      <c r="Q26" s="133" t="s">
        <v>708</v>
      </c>
      <c r="R26" s="130" t="s">
        <v>709</v>
      </c>
      <c r="T26" s="133" t="s">
        <v>708</v>
      </c>
      <c r="U26" s="130" t="s">
        <v>709</v>
      </c>
      <c r="W26" s="133" t="s">
        <v>708</v>
      </c>
      <c r="X26" s="130" t="s">
        <v>709</v>
      </c>
    </row>
    <row r="27" spans="1:24">
      <c r="B27" s="94" t="s">
        <v>717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727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111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718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108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719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720</v>
      </c>
      <c r="C34" s="122"/>
      <c r="D34" s="121"/>
      <c r="E34" s="133" t="s">
        <v>708</v>
      </c>
      <c r="F34" s="130" t="s">
        <v>709</v>
      </c>
      <c r="G34" s="119"/>
      <c r="H34" s="133" t="s">
        <v>708</v>
      </c>
      <c r="I34" s="130" t="s">
        <v>709</v>
      </c>
      <c r="J34" s="119"/>
      <c r="K34" s="133" t="s">
        <v>708</v>
      </c>
      <c r="L34" s="130" t="s">
        <v>709</v>
      </c>
      <c r="N34" s="133" t="s">
        <v>708</v>
      </c>
      <c r="O34" s="130" t="s">
        <v>709</v>
      </c>
      <c r="Q34" s="133" t="s">
        <v>708</v>
      </c>
      <c r="R34" s="130" t="s">
        <v>709</v>
      </c>
      <c r="T34" s="133" t="s">
        <v>708</v>
      </c>
      <c r="U34" s="130" t="s">
        <v>709</v>
      </c>
      <c r="W34" s="133" t="s">
        <v>708</v>
      </c>
      <c r="X34" s="130" t="s">
        <v>709</v>
      </c>
    </row>
    <row r="35" spans="1:24">
      <c r="B35" s="94" t="s">
        <v>128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120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110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370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721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695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722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84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90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723</v>
      </c>
      <c r="C45" s="122"/>
      <c r="D45" s="121"/>
      <c r="E45" s="133" t="s">
        <v>708</v>
      </c>
      <c r="F45" s="130" t="s">
        <v>709</v>
      </c>
      <c r="G45" s="119"/>
      <c r="H45" s="133" t="s">
        <v>708</v>
      </c>
      <c r="I45" s="130" t="s">
        <v>709</v>
      </c>
      <c r="J45" s="119"/>
      <c r="K45" s="133" t="s">
        <v>708</v>
      </c>
      <c r="L45" s="130" t="s">
        <v>709</v>
      </c>
      <c r="N45" s="133" t="s">
        <v>708</v>
      </c>
      <c r="O45" s="130" t="s">
        <v>709</v>
      </c>
      <c r="Q45" s="133" t="s">
        <v>708</v>
      </c>
      <c r="R45" s="130" t="s">
        <v>709</v>
      </c>
      <c r="T45" s="133" t="s">
        <v>708</v>
      </c>
      <c r="U45" s="130" t="s">
        <v>709</v>
      </c>
      <c r="W45" s="133" t="s">
        <v>708</v>
      </c>
      <c r="X45" s="130" t="s">
        <v>709</v>
      </c>
    </row>
    <row r="46" spans="1:24">
      <c r="A46" s="114"/>
      <c r="B46" s="118" t="s">
        <v>141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135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142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139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724</v>
      </c>
      <c r="C52" s="282"/>
    </row>
    <row r="53" spans="2:24">
      <c r="B53" s="116" t="s">
        <v>5</v>
      </c>
      <c r="C53" s="117" t="s">
        <v>725</v>
      </c>
    </row>
    <row r="54" spans="2:24">
      <c r="B54" s="94" t="s">
        <v>146</v>
      </c>
      <c r="C54" s="134">
        <v>3.12</v>
      </c>
    </row>
    <row r="55" spans="2:24">
      <c r="B55" s="94" t="s">
        <v>148</v>
      </c>
      <c r="C55" s="134">
        <v>2.1800000000000002</v>
      </c>
    </row>
    <row r="56" spans="2:24">
      <c r="B56" s="94" t="s">
        <v>147</v>
      </c>
      <c r="C56" s="134">
        <v>2.4700000000000002</v>
      </c>
    </row>
    <row r="57" spans="2:24">
      <c r="B57" s="94" t="s">
        <v>685</v>
      </c>
      <c r="C57" s="134">
        <v>1.81</v>
      </c>
    </row>
    <row r="58" spans="2:24">
      <c r="B58" s="94" t="s">
        <v>690</v>
      </c>
      <c r="C58" s="134">
        <v>1.67</v>
      </c>
    </row>
    <row r="59" spans="2:24">
      <c r="B59" s="96" t="s">
        <v>687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N2:O2"/>
    <mergeCell ref="Q2:R2"/>
    <mergeCell ref="T2:U2"/>
    <mergeCell ref="W2:X2"/>
    <mergeCell ref="K2:L2"/>
    <mergeCell ref="B52:C52"/>
    <mergeCell ref="B61:C61"/>
    <mergeCell ref="E2:F2"/>
    <mergeCell ref="B2:C3"/>
    <mergeCell ref="H2:I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728</v>
      </c>
      <c r="C1" s="70" t="s">
        <v>729</v>
      </c>
      <c r="D1" s="70" t="s">
        <v>730</v>
      </c>
      <c r="E1" s="67"/>
      <c r="F1" s="67"/>
      <c r="G1" s="67"/>
      <c r="H1" s="67"/>
    </row>
    <row r="2" spans="1:8" ht="85">
      <c r="A2" s="68" t="s">
        <v>557</v>
      </c>
      <c r="B2" s="71" t="s">
        <v>731</v>
      </c>
      <c r="C2" s="71" t="s">
        <v>732</v>
      </c>
      <c r="D2" s="71" t="s">
        <v>733</v>
      </c>
    </row>
    <row r="3" spans="1:8" ht="68">
      <c r="A3" s="68" t="s">
        <v>734</v>
      </c>
      <c r="B3" s="71" t="s">
        <v>735</v>
      </c>
      <c r="C3" s="71" t="s">
        <v>736</v>
      </c>
    </row>
    <row r="4" spans="1:8" ht="51">
      <c r="A4" s="68" t="s">
        <v>737</v>
      </c>
      <c r="B4" s="71" t="s">
        <v>738</v>
      </c>
      <c r="C4" s="71" t="s">
        <v>739</v>
      </c>
    </row>
    <row r="5" spans="1:8" ht="85">
      <c r="A5" s="68" t="s">
        <v>148</v>
      </c>
      <c r="B5" s="71" t="s">
        <v>740</v>
      </c>
      <c r="C5" s="71" t="s">
        <v>739</v>
      </c>
    </row>
    <row r="6" spans="1:8" ht="51">
      <c r="A6" s="68" t="s">
        <v>741</v>
      </c>
      <c r="B6" s="71" t="s">
        <v>742</v>
      </c>
      <c r="C6" s="71" t="s">
        <v>743</v>
      </c>
    </row>
    <row r="7" spans="1:8" ht="68">
      <c r="A7" s="68" t="s">
        <v>151</v>
      </c>
      <c r="B7" s="71" t="s">
        <v>744</v>
      </c>
      <c r="C7" s="71" t="s">
        <v>745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2" t="s">
        <v>750</v>
      </c>
      <c r="G1" s="34" t="s">
        <v>751</v>
      </c>
      <c r="I1" s="4" t="s">
        <v>752</v>
      </c>
      <c r="J1" s="4" t="s">
        <v>753</v>
      </c>
      <c r="K1" s="4" t="s">
        <v>754</v>
      </c>
      <c r="L1" s="5" t="s">
        <v>755</v>
      </c>
      <c r="M1" s="5" t="s">
        <v>756</v>
      </c>
      <c r="N1" s="5" t="s">
        <v>757</v>
      </c>
      <c r="O1" s="6" t="s">
        <v>758</v>
      </c>
      <c r="P1" s="6" t="s">
        <v>756</v>
      </c>
      <c r="Q1" s="6" t="s">
        <v>759</v>
      </c>
      <c r="R1" s="64" t="s">
        <v>760</v>
      </c>
      <c r="S1" s="64" t="s">
        <v>761</v>
      </c>
      <c r="T1" s="64" t="s">
        <v>762</v>
      </c>
      <c r="U1" s="1" t="s">
        <v>763</v>
      </c>
      <c r="V1" s="1" t="s">
        <v>764</v>
      </c>
    </row>
    <row r="2" spans="1:26" s="49" customFormat="1" ht="19">
      <c r="A2" s="44" t="s">
        <v>765</v>
      </c>
      <c r="B2" s="51">
        <v>0.5</v>
      </c>
      <c r="C2" s="45"/>
      <c r="D2" s="45"/>
      <c r="E2" s="45"/>
      <c r="F2" s="45"/>
      <c r="G2" s="47"/>
      <c r="H2" s="46" t="s">
        <v>766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160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767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768</v>
      </c>
    </row>
    <row r="5" spans="1:26">
      <c r="A5" s="7" t="s">
        <v>769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768</v>
      </c>
    </row>
    <row r="6" spans="1:26">
      <c r="A6" s="7" t="s">
        <v>770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768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768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768</v>
      </c>
    </row>
    <row r="9" spans="1:26">
      <c r="F9" s="291"/>
      <c r="G9" s="36">
        <f t="shared" si="1"/>
        <v>0</v>
      </c>
    </row>
    <row r="10" spans="1:26" ht="19">
      <c r="A10" s="44" t="s">
        <v>734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771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182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772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737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773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774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775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776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777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778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779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780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781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148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185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782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783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784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768</v>
      </c>
    </row>
    <row r="32" spans="1:22">
      <c r="A32" s="7" t="s">
        <v>785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786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787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788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741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789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45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790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791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792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793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151</v>
      </c>
      <c r="G43" s="36">
        <f t="shared" si="1"/>
        <v>0</v>
      </c>
    </row>
    <row r="44" spans="1:21">
      <c r="A44" s="7" t="s">
        <v>794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795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796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797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798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799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61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800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801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802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803</v>
      </c>
      <c r="B55" s="286" t="s">
        <v>804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805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806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807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808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819</v>
      </c>
      <c r="T1" s="6" t="s">
        <v>820</v>
      </c>
      <c r="U1" s="6" t="s">
        <v>821</v>
      </c>
      <c r="V1" s="37" t="s">
        <v>822</v>
      </c>
      <c r="W1" s="37" t="s">
        <v>823</v>
      </c>
      <c r="X1" s="37" t="s">
        <v>824</v>
      </c>
      <c r="Y1" s="1" t="s">
        <v>825</v>
      </c>
      <c r="Z1" s="1" t="s">
        <v>826</v>
      </c>
      <c r="AA1" s="1" t="s">
        <v>827</v>
      </c>
      <c r="AB1" s="1" t="s">
        <v>828</v>
      </c>
      <c r="AC1" s="1" t="s">
        <v>829</v>
      </c>
    </row>
    <row r="2" spans="1:29" s="49" customFormat="1" ht="19">
      <c r="A2" s="44" t="s">
        <v>830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831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832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833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834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771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182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835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836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781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837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183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838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839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775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840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841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842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843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782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844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845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846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797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847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848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803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805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806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807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849</v>
      </c>
      <c r="T1" s="6" t="s">
        <v>850</v>
      </c>
      <c r="U1" s="6" t="s">
        <v>851</v>
      </c>
      <c r="V1" s="37"/>
      <c r="W1" s="37"/>
      <c r="X1" s="37"/>
    </row>
    <row r="2" spans="1:29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852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853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854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855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771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182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835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836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781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837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183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838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839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775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840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856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843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782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796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845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846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797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857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799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793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792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858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784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859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848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803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805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806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807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849</v>
      </c>
      <c r="T1" s="6" t="s">
        <v>850</v>
      </c>
      <c r="U1" s="6" t="s">
        <v>851</v>
      </c>
      <c r="V1" s="37" t="s">
        <v>860</v>
      </c>
      <c r="W1" s="37" t="s">
        <v>861</v>
      </c>
      <c r="X1" s="37" t="s">
        <v>862</v>
      </c>
      <c r="Y1" s="1" t="s">
        <v>825</v>
      </c>
      <c r="Z1" s="1" t="s">
        <v>826</v>
      </c>
      <c r="AA1" s="1" t="s">
        <v>827</v>
      </c>
      <c r="AB1" s="1" t="s">
        <v>828</v>
      </c>
      <c r="AC1" s="1" t="s">
        <v>829</v>
      </c>
    </row>
    <row r="2" spans="1:29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852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863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853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854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855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771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182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835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836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781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837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183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838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839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775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840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856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843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782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796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845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846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797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857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799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793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792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858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784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859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793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789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790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848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803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805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806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807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849</v>
      </c>
      <c r="T1" s="6" t="s">
        <v>850</v>
      </c>
      <c r="U1" s="6" t="s">
        <v>851</v>
      </c>
      <c r="V1" s="37" t="s">
        <v>860</v>
      </c>
      <c r="W1" s="37" t="s">
        <v>861</v>
      </c>
      <c r="X1" s="37" t="s">
        <v>862</v>
      </c>
      <c r="Y1" s="1" t="s">
        <v>825</v>
      </c>
      <c r="Z1" s="1" t="s">
        <v>826</v>
      </c>
      <c r="AA1" s="1" t="s">
        <v>827</v>
      </c>
      <c r="AB1" s="1" t="s">
        <v>828</v>
      </c>
      <c r="AC1" s="1" t="s">
        <v>829</v>
      </c>
    </row>
    <row r="2" spans="1:29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852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863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853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854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855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864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771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182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835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781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775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840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856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782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795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796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846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797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857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799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792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858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784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859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789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185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790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848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803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805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806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807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764</v>
      </c>
      <c r="J1" s="3" t="s">
        <v>865</v>
      </c>
      <c r="K1" s="3" t="s">
        <v>866</v>
      </c>
      <c r="L1" s="3" t="s">
        <v>867</v>
      </c>
      <c r="M1" s="4" t="s">
        <v>752</v>
      </c>
      <c r="N1" s="4" t="s">
        <v>753</v>
      </c>
      <c r="O1" s="4" t="s">
        <v>754</v>
      </c>
      <c r="P1" s="5" t="s">
        <v>868</v>
      </c>
      <c r="Q1" s="5" t="s">
        <v>869</v>
      </c>
      <c r="R1" s="5" t="s">
        <v>870</v>
      </c>
      <c r="S1" s="6" t="s">
        <v>849</v>
      </c>
      <c r="T1" s="6" t="s">
        <v>850</v>
      </c>
      <c r="U1" s="6" t="s">
        <v>851</v>
      </c>
      <c r="V1" s="6" t="s">
        <v>871</v>
      </c>
      <c r="W1" s="6" t="s">
        <v>872</v>
      </c>
      <c r="X1" s="6" t="s">
        <v>873</v>
      </c>
      <c r="Y1" s="1" t="s">
        <v>874</v>
      </c>
    </row>
    <row r="2" spans="1:30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160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852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768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863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768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853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768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855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768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854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768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734</v>
      </c>
      <c r="J10" s="310" t="s">
        <v>875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876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864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877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771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878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879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880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737</v>
      </c>
      <c r="K17" s="14"/>
      <c r="L17" s="14"/>
      <c r="M17" s="313" t="s">
        <v>881</v>
      </c>
      <c r="N17" s="314"/>
      <c r="O17" s="315"/>
      <c r="Q17" s="16"/>
      <c r="R17" s="16"/>
      <c r="T17" s="17"/>
      <c r="U17" s="17"/>
      <c r="V17" s="319" t="s">
        <v>882</v>
      </c>
      <c r="W17" s="320"/>
      <c r="X17" s="321"/>
      <c r="Y17" s="7"/>
    </row>
    <row r="18" spans="1:25">
      <c r="A18" s="7" t="s">
        <v>773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774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775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776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777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778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779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780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781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148</v>
      </c>
      <c r="K27" s="14"/>
      <c r="L27" s="14"/>
      <c r="M27" s="313" t="s">
        <v>883</v>
      </c>
      <c r="N27" s="314"/>
      <c r="O27" s="315"/>
      <c r="Q27" s="16"/>
      <c r="R27" s="16"/>
      <c r="S27" s="316" t="s">
        <v>884</v>
      </c>
      <c r="T27" s="317"/>
      <c r="U27" s="318"/>
      <c r="V27" s="39"/>
      <c r="W27" s="38"/>
      <c r="X27" s="38"/>
      <c r="Y27" s="7"/>
    </row>
    <row r="28" spans="1:25">
      <c r="A28" s="7" t="s">
        <v>185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782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783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885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784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788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741</v>
      </c>
      <c r="D33" s="60"/>
      <c r="J33" s="310" t="s">
        <v>886</v>
      </c>
      <c r="K33" s="311"/>
      <c r="L33" s="312"/>
      <c r="M33" s="313" t="s">
        <v>887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789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45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888</v>
      </c>
    </row>
    <row r="36" spans="1:26">
      <c r="A36" s="7" t="s">
        <v>790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791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792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793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151</v>
      </c>
      <c r="G40" s="36">
        <f t="shared" si="11"/>
        <v>0</v>
      </c>
    </row>
    <row r="41" spans="1:26">
      <c r="A41" s="7" t="s">
        <v>794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795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796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797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798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799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61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801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848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803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805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806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807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808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J33:L33"/>
    <mergeCell ref="M33:O33"/>
    <mergeCell ref="S27:U27"/>
    <mergeCell ref="M17:O17"/>
    <mergeCell ref="V17:X17"/>
    <mergeCell ref="M27:O27"/>
    <mergeCell ref="V2:X2"/>
    <mergeCell ref="J10:O10"/>
    <mergeCell ref="J2:L2"/>
    <mergeCell ref="M2:O2"/>
    <mergeCell ref="P2:R2"/>
    <mergeCell ref="S2:U2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764</v>
      </c>
      <c r="J1" s="3" t="s">
        <v>865</v>
      </c>
      <c r="K1" s="3" t="s">
        <v>866</v>
      </c>
      <c r="L1" s="3" t="s">
        <v>867</v>
      </c>
      <c r="M1" s="4" t="s">
        <v>752</v>
      </c>
      <c r="N1" s="4" t="s">
        <v>753</v>
      </c>
      <c r="O1" s="4" t="s">
        <v>754</v>
      </c>
      <c r="P1" s="5" t="s">
        <v>868</v>
      </c>
      <c r="Q1" s="5" t="s">
        <v>869</v>
      </c>
      <c r="R1" s="5" t="s">
        <v>870</v>
      </c>
      <c r="S1" s="6" t="s">
        <v>889</v>
      </c>
      <c r="T1" s="6" t="s">
        <v>890</v>
      </c>
      <c r="U1" s="6" t="s">
        <v>759</v>
      </c>
      <c r="V1" s="6" t="s">
        <v>891</v>
      </c>
      <c r="W1" s="6" t="s">
        <v>892</v>
      </c>
      <c r="X1" s="6" t="s">
        <v>893</v>
      </c>
      <c r="Y1" s="1" t="s">
        <v>763</v>
      </c>
    </row>
    <row r="2" spans="1:30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160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852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768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863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768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853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768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855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768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854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768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734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876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864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878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879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894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880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737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773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774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775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776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777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778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779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780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781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148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185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782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783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784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768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785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786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787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788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741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789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45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790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791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792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793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151</v>
      </c>
      <c r="G43" s="36">
        <f t="shared" si="11"/>
        <v>0</v>
      </c>
    </row>
    <row r="44" spans="1:25">
      <c r="A44" s="7" t="s">
        <v>794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795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796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797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798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799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61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800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801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848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803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805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806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807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808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IMPT INFO</vt:lpstr>
      <vt:lpstr>Master Variety List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2026-02-06T14:48:21Z</dcterms:modified>
  <cp:category/>
  <cp:contentStatus/>
</cp:coreProperties>
</file>